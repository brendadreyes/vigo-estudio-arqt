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28920" yWindow="-120" windowWidth="29040" windowHeight="15720" tabRatio="581" activeTab="2"/>
  </bookViews>
  <sheets>
    <sheet name="CONTROL DE PAGOS MIO" sheetId="1" r:id="rId1"/>
    <sheet name="CONTROL DE PAGOS COLABORADORES" sheetId="3" r:id="rId2"/>
    <sheet name="TRABAJOS EN CURSO" sheetId="5" r:id="rId3"/>
    <sheet name="TRABAJOS REALIZADOS" sheetId="2" r:id="rId4"/>
    <sheet name="CONTROL DE PAGOS" sheetId="6" r:id="rId5"/>
    <sheet name="control horario" sheetId="4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3" l="1"/>
  <c r="U9" i="3"/>
  <c r="U8" i="3"/>
  <c r="N40" i="2"/>
  <c r="M7" i="2"/>
  <c r="Y56" i="6" l="1"/>
  <c r="Z56" i="6" s="1"/>
  <c r="Y55" i="6"/>
  <c r="Z55" i="6" s="1"/>
  <c r="Y54" i="6"/>
  <c r="Z54" i="6" s="1"/>
  <c r="N56" i="2"/>
  <c r="N14" i="5" l="1"/>
  <c r="N55" i="2" l="1"/>
  <c r="N52" i="2"/>
  <c r="N54" i="2"/>
  <c r="M45" i="6"/>
  <c r="M46" i="6"/>
  <c r="M47" i="6"/>
  <c r="M44" i="6"/>
  <c r="M50" i="6"/>
  <c r="M51" i="6"/>
  <c r="L45" i="6"/>
  <c r="L46" i="6"/>
  <c r="L47" i="6"/>
  <c r="L44" i="6"/>
  <c r="L50" i="6"/>
  <c r="L51" i="6"/>
  <c r="N19" i="5" l="1"/>
  <c r="N16" i="5" l="1"/>
  <c r="N18" i="5" l="1"/>
  <c r="O19" i="5" l="1"/>
  <c r="O18" i="5" l="1"/>
  <c r="Y53" i="6" l="1"/>
  <c r="Z53" i="6" s="1"/>
  <c r="N53" i="2"/>
  <c r="N16" i="2" l="1"/>
  <c r="M52" i="6"/>
  <c r="Y52" i="6"/>
  <c r="Z52" i="6" s="1"/>
  <c r="G52" i="6"/>
  <c r="H52" i="6" s="1"/>
  <c r="O17" i="5" l="1"/>
  <c r="G51" i="6" l="1"/>
  <c r="Y51" i="6"/>
  <c r="Z51" i="6" s="1"/>
  <c r="N51" i="2"/>
  <c r="Z17" i="5" l="1"/>
  <c r="AA17" i="5" s="1"/>
  <c r="Y50" i="6" l="1"/>
  <c r="Z50" i="6" s="1"/>
  <c r="G44" i="6"/>
  <c r="G45" i="6"/>
  <c r="G46" i="6"/>
  <c r="G47" i="6"/>
  <c r="G50" i="6"/>
  <c r="N50" i="2"/>
  <c r="M49" i="6" l="1"/>
  <c r="L49" i="6"/>
  <c r="Y49" i="6" l="1"/>
  <c r="Z49" i="6" s="1"/>
  <c r="N49" i="2" l="1"/>
  <c r="N48" i="2" l="1"/>
  <c r="Y44" i="6"/>
  <c r="Z44" i="6" s="1"/>
  <c r="Y46" i="6"/>
  <c r="Z46" i="6" s="1"/>
  <c r="Y45" i="6"/>
  <c r="Z45" i="6" s="1"/>
  <c r="N46" i="2"/>
  <c r="N47" i="2"/>
  <c r="I45" i="2" l="1"/>
  <c r="N45" i="2" s="1"/>
  <c r="Y43" i="6" l="1"/>
  <c r="Z43" i="6" s="1"/>
  <c r="M44" i="2"/>
  <c r="N44" i="2" s="1"/>
  <c r="M43" i="2" l="1"/>
  <c r="N43" i="2" l="1"/>
  <c r="O15" i="5"/>
  <c r="O14" i="5"/>
  <c r="M42" i="2"/>
  <c r="N42" i="2" s="1"/>
  <c r="Y40" i="6" l="1"/>
  <c r="Z40" i="6" s="1"/>
  <c r="Y41" i="6"/>
  <c r="Z41" i="6" s="1"/>
  <c r="Y42" i="6"/>
  <c r="Z42" i="6" s="1"/>
  <c r="Y47" i="6"/>
  <c r="Z47" i="6" s="1"/>
  <c r="Y48" i="6"/>
  <c r="Z48" i="6" s="1"/>
  <c r="Y39" i="6"/>
  <c r="Z39" i="6" s="1"/>
  <c r="N41" i="2"/>
  <c r="U6" i="3" l="1"/>
  <c r="Y38" i="6" l="1"/>
  <c r="Z38" i="6" s="1"/>
  <c r="Y37" i="6"/>
  <c r="M38" i="6"/>
  <c r="L38" i="6"/>
  <c r="L37" i="6"/>
  <c r="M37" i="6"/>
  <c r="N39" i="2"/>
  <c r="F37" i="6" l="1"/>
  <c r="Z37" i="6" s="1"/>
  <c r="I38" i="2"/>
  <c r="N38" i="2" s="1"/>
  <c r="Y36" i="6" l="1"/>
  <c r="Z36" i="6" s="1"/>
  <c r="Y35" i="6"/>
  <c r="Z35" i="6" s="1"/>
  <c r="N37" i="2"/>
  <c r="N36" i="2" l="1"/>
  <c r="T28" i="1" l="1"/>
  <c r="H13" i="5" l="1"/>
  <c r="Y34" i="6"/>
  <c r="Z34" i="6" s="1"/>
  <c r="Y33" i="6"/>
  <c r="Z33" i="6" s="1"/>
  <c r="M35" i="2"/>
  <c r="N35" i="2" s="1"/>
  <c r="M34" i="2" l="1"/>
  <c r="M33" i="2" l="1"/>
  <c r="Y4" i="6" l="1"/>
  <c r="Z4" i="6" s="1"/>
  <c r="Y5" i="6"/>
  <c r="Y6" i="6"/>
  <c r="Y7" i="6"/>
  <c r="Z7" i="6" s="1"/>
  <c r="Y8" i="6"/>
  <c r="Z8" i="6" s="1"/>
  <c r="Y9" i="6"/>
  <c r="Z9" i="6" s="1"/>
  <c r="Y10" i="6"/>
  <c r="Z10" i="6" s="1"/>
  <c r="Y11" i="6"/>
  <c r="Z11" i="6" s="1"/>
  <c r="Y12" i="6"/>
  <c r="Z12" i="6" s="1"/>
  <c r="Y13" i="6"/>
  <c r="Z13" i="6" s="1"/>
  <c r="Y14" i="6"/>
  <c r="Z14" i="6" s="1"/>
  <c r="Y15" i="6"/>
  <c r="Z15" i="6" s="1"/>
  <c r="Y16" i="6"/>
  <c r="Z16" i="6" s="1"/>
  <c r="Y17" i="6"/>
  <c r="Z17" i="6" s="1"/>
  <c r="Y18" i="6"/>
  <c r="Z18" i="6" s="1"/>
  <c r="Y19" i="6"/>
  <c r="Z19" i="6" s="1"/>
  <c r="Y20" i="6"/>
  <c r="Z20" i="6" s="1"/>
  <c r="Y21" i="6"/>
  <c r="Z21" i="6" s="1"/>
  <c r="Y22" i="6"/>
  <c r="Z22" i="6" s="1"/>
  <c r="Y23" i="6"/>
  <c r="Z23" i="6" s="1"/>
  <c r="Y24" i="6"/>
  <c r="Z24" i="6" s="1"/>
  <c r="Y25" i="6"/>
  <c r="Z25" i="6" s="1"/>
  <c r="Y26" i="6"/>
  <c r="Z26" i="6" s="1"/>
  <c r="Y27" i="6"/>
  <c r="Z27" i="6" s="1"/>
  <c r="Y28" i="6"/>
  <c r="Z28" i="6" s="1"/>
  <c r="Y29" i="6"/>
  <c r="Z29" i="6" s="1"/>
  <c r="Y30" i="6"/>
  <c r="Z30" i="6" s="1"/>
  <c r="Y31" i="6"/>
  <c r="Z31" i="6" s="1"/>
  <c r="Y32" i="6"/>
  <c r="Z32" i="6" s="1"/>
  <c r="Y3" i="6"/>
  <c r="Z3" i="6" s="1"/>
  <c r="N34" i="2" l="1"/>
  <c r="M22" i="2" l="1"/>
  <c r="M21" i="2" l="1"/>
  <c r="M27" i="2"/>
  <c r="N32" i="2"/>
  <c r="N31" i="2" l="1"/>
  <c r="M30" i="2" l="1"/>
  <c r="N30" i="2" s="1"/>
  <c r="K15" i="4" l="1"/>
  <c r="K16" i="4"/>
  <c r="M25" i="2"/>
  <c r="N29" i="2" l="1"/>
  <c r="M15" i="2" l="1"/>
  <c r="N15" i="2" s="1"/>
  <c r="N22" i="2"/>
  <c r="N21" i="2"/>
  <c r="M20" i="2"/>
  <c r="N20" i="2" s="1"/>
  <c r="N28" i="2" l="1"/>
  <c r="K19" i="4" l="1"/>
  <c r="K8" i="4"/>
  <c r="N26" i="2" l="1"/>
  <c r="N33" i="2" l="1"/>
  <c r="F11" i="4" l="1"/>
  <c r="N27" i="2" l="1"/>
  <c r="C11" i="4" l="1"/>
  <c r="N25" i="2" l="1"/>
  <c r="T6" i="1" l="1"/>
  <c r="K13" i="4" l="1"/>
  <c r="N23" i="2" l="1"/>
  <c r="K5" i="4" l="1"/>
  <c r="K7" i="4" s="1"/>
  <c r="N24" i="2" l="1"/>
  <c r="M19" i="2" l="1"/>
  <c r="N18" i="2" l="1"/>
  <c r="N17" i="2"/>
  <c r="N19" i="2"/>
  <c r="C27" i="1" l="1"/>
  <c r="T27" i="1" l="1"/>
  <c r="U5" i="3" l="1"/>
  <c r="M14" i="2" l="1"/>
  <c r="N14" i="2" s="1"/>
  <c r="N11" i="2" l="1"/>
  <c r="M10" i="2"/>
  <c r="N13" i="2" l="1"/>
  <c r="M12" i="2" l="1"/>
  <c r="N12" i="2" s="1"/>
  <c r="N9" i="2" l="1"/>
  <c r="N10" i="2" l="1"/>
  <c r="T26" i="1"/>
  <c r="M5" i="2" l="1"/>
  <c r="N5" i="2" s="1"/>
  <c r="M6" i="2" l="1"/>
  <c r="N6" i="2" l="1"/>
  <c r="T25" i="1" l="1"/>
  <c r="F25" i="1"/>
  <c r="F22" i="1" l="1"/>
  <c r="T22" i="1"/>
  <c r="T24" i="1" l="1"/>
  <c r="F24" i="1"/>
  <c r="T23" i="1" l="1"/>
  <c r="T21" i="1"/>
  <c r="F21" i="1"/>
  <c r="C34" i="1" l="1"/>
  <c r="T20" i="1" l="1"/>
  <c r="F20" i="1"/>
  <c r="F19" i="1" l="1"/>
  <c r="T19" i="1"/>
  <c r="K10" i="1" l="1"/>
  <c r="T18" i="1" l="1"/>
  <c r="T17" i="1"/>
  <c r="K6" i="1" l="1"/>
  <c r="T12" i="1" l="1"/>
  <c r="K5" i="1" l="1"/>
  <c r="T16" i="1" l="1"/>
  <c r="T5" i="1"/>
  <c r="T7" i="1"/>
  <c r="T8" i="1"/>
  <c r="T9" i="1"/>
  <c r="T10" i="1"/>
  <c r="T11" i="1"/>
  <c r="T15" i="1"/>
  <c r="F15" i="1"/>
  <c r="F6" i="1"/>
  <c r="J13" i="1" l="1"/>
  <c r="T13" i="1" s="1"/>
  <c r="J14" i="1"/>
  <c r="T14" i="1" s="1"/>
  <c r="T34" i="1" l="1"/>
</calcChain>
</file>

<file path=xl/comments1.xml><?xml version="1.0" encoding="utf-8"?>
<comments xmlns="http://schemas.openxmlformats.org/spreadsheetml/2006/main">
  <authors>
    <author>Autor</author>
  </authors>
  <commentList>
    <comment ref="C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proyecto+d.o+d.eo+c.s.s = 5.000
como el cliente es mio:
60% miguel -&gt;3.000
40% pedro -&gt; 2.000
como el cliente es mio, 8% de hacer a medicion = 8% de 3000= 240 euros
Por lo tanto:
miguel= 2760
pedro= 2240
EDUAN PAGA 3 VECES:
                                       PAGO 1= 1000                PAGO 2=3000               PAGO 3= 1000
Por lo tanto:
MIguel                               600                                      1560                                      600                       
Pedro                                400                                        1440                                    400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esto es el encargo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IGUAL QUE HUELVA 9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Autor:
proyecto+d.o+d.eo+c.s.s = 5.000
como el cliente es mio:
60% miguel -&gt;3.000
40% pedro -&gt; 2.000
como el cliente es mio, 8% de hacer a medicion = 8% de 3000= 240 euros
Por lo tanto:
miguel= 2760
pedro= 2240
EDUAN PAGA 3 VECES:
                                       PAGO 1= 1000                PAGO 2=3000               PAGO 3= 1000
Por lo tanto:
MIguel                               600                                      1560                                      600                       
Pedro                                400                                        1440                                    400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Autor:
proyecto+d.o+d.eo+c.s.s = 5.000
como el cliente es mio:
60% miguel -&gt;3.000
40% pedro -&gt; 2.000
como el cliente es mio, 8% de hacer a medicion = 8% de 3000= 240 euros
Por lo tanto:
miguel= 2760
pedro= 2240
EDUAN PAGA 3 VECES:
                                       PAGO 1= 1000                PAGO 2=3000               PAGO 3= 1000
Por lo tanto:
MIguel                               600                                      1560                                      600                       
Pedro                                400                                        1440                                    400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H1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300 ENTRAGDO
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M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HORAS DE HACER LOS PLANOS PREVIOS
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ya he ido una vez a mirar lo de la fachada 1 hora</t>
        </r>
      </text>
    </comment>
    <comment ref="M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DESDE EL 10/03 HASTA 28/03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685 topografo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700-900 topografo
</t>
        </r>
      </text>
    </comment>
    <comment ref="J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COMISION MANOLO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ya he ido una vez a mirar lo de la fachada 1 hora</t>
        </r>
      </text>
    </comment>
    <comment ref="S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gastos colegiales 99 euros
</t>
        </r>
      </text>
    </comment>
    <comment ref="X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gastos colegiales 99 euros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total queda pendiente 691 euros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685 topografo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700-900 topografo
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COMISION MANOLO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COMISION MANOLO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COMISION MANOLO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COMISION MANOLO</t>
        </r>
      </text>
    </comment>
    <comment ref="G5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RAFA ME PIDE 100 LE DOI 200</t>
        </r>
      </text>
    </comment>
    <comment ref="L5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RAFA ME PIDE 100 LE DOI 200</t>
        </r>
      </text>
    </comment>
  </commentList>
</comments>
</file>

<file path=xl/sharedStrings.xml><?xml version="1.0" encoding="utf-8"?>
<sst xmlns="http://schemas.openxmlformats.org/spreadsheetml/2006/main" count="945" uniqueCount="314">
  <si>
    <t>ECHEGARAY</t>
  </si>
  <si>
    <t>LA VICTORIA DIRECCION</t>
  </si>
  <si>
    <t>HUELVA 33 NUEVA</t>
  </si>
  <si>
    <t>JULIO HATERO</t>
  </si>
  <si>
    <t>HUELVA 31</t>
  </si>
  <si>
    <t>CALLE BARCELONA</t>
  </si>
  <si>
    <t>HUELVA 29</t>
  </si>
  <si>
    <t>HUELVA25</t>
  </si>
  <si>
    <t>HUELVA 23</t>
  </si>
  <si>
    <t xml:space="preserve">HONORARIOS </t>
  </si>
  <si>
    <t>PACTADO</t>
  </si>
  <si>
    <t>FECHA</t>
  </si>
  <si>
    <t>PENDIENTE</t>
  </si>
  <si>
    <t>IVA</t>
  </si>
  <si>
    <t>BASE</t>
  </si>
  <si>
    <t>ENTREGA 1</t>
  </si>
  <si>
    <t>ENTREGA 2</t>
  </si>
  <si>
    <t>ENTREGA 3</t>
  </si>
  <si>
    <t>ALBARAN</t>
  </si>
  <si>
    <t>FACTURA</t>
  </si>
  <si>
    <t xml:space="preserve"> </t>
  </si>
  <si>
    <t>CALLE PADILLA demolicion</t>
  </si>
  <si>
    <t>GASTOS COL</t>
  </si>
  <si>
    <t>HUELVA 27</t>
  </si>
  <si>
    <t xml:space="preserve">CALLE ZAMORANO </t>
  </si>
  <si>
    <t>PICARESCA</t>
  </si>
  <si>
    <t>HUELVA 5</t>
  </si>
  <si>
    <t>PEPE DIANA</t>
  </si>
  <si>
    <t>AV DE LA CONSTITUCION 24</t>
  </si>
  <si>
    <t>PADILLA 3</t>
  </si>
  <si>
    <t>EL CHOZO</t>
  </si>
  <si>
    <t>ANOTACIONES</t>
  </si>
  <si>
    <t>HUELVA 7</t>
  </si>
  <si>
    <t>29/02/2023</t>
  </si>
  <si>
    <t>le tendremos que hacer factura cuando me de de alta</t>
  </si>
  <si>
    <t>BETANIA- SANTO DOMINGO</t>
  </si>
  <si>
    <t>LEGALIZACION PISCINA</t>
  </si>
  <si>
    <t>CLIENTE</t>
  </si>
  <si>
    <t>CARLOS AGUILAR</t>
  </si>
  <si>
    <t>PRECIO</t>
  </si>
  <si>
    <t xml:space="preserve">FACTURA </t>
  </si>
  <si>
    <t>TIPO DE TRABAJO</t>
  </si>
  <si>
    <t>SI</t>
  </si>
  <si>
    <t xml:space="preserve">FECHA ENTREGA </t>
  </si>
  <si>
    <t>PRECIO/HORA</t>
  </si>
  <si>
    <t xml:space="preserve">HUELVA 9 </t>
  </si>
  <si>
    <t>HORAS DEDICADAS</t>
  </si>
  <si>
    <t>TIPO DE CLIENTE</t>
  </si>
  <si>
    <t>PROMOTOR</t>
  </si>
  <si>
    <t>PRESUPUESTO</t>
  </si>
  <si>
    <t>COBRADO TOTAL</t>
  </si>
  <si>
    <t>RENDIMIENTO DEL TRABAJO</t>
  </si>
  <si>
    <t>NOMBRE ENCARGO</t>
  </si>
  <si>
    <t xml:space="preserve">GRANADA 14 </t>
  </si>
  <si>
    <t>LOCALIDAD</t>
  </si>
  <si>
    <t>ÉCIJA</t>
  </si>
  <si>
    <t>EDUAN</t>
  </si>
  <si>
    <t>LA LUISIANA</t>
  </si>
  <si>
    <t>PLANOS PREVIOS</t>
  </si>
  <si>
    <t>CERTIFICADO GRAFICO DESCRIPTIVO</t>
  </si>
  <si>
    <t>CERTIFICADOS</t>
  </si>
  <si>
    <t>VALENCINA DE LA CONCEPCION</t>
  </si>
  <si>
    <t>FITOSANITARIOS COESAGRO</t>
  </si>
  <si>
    <t>ECIJA</t>
  </si>
  <si>
    <t>CONTRATISTA</t>
  </si>
  <si>
    <t>MANOLO BLANCO</t>
  </si>
  <si>
    <t>NO COBRADO</t>
  </si>
  <si>
    <t>CALLE SENECA 25</t>
  </si>
  <si>
    <t>NAVE VALENCINA DE LA CONCEPCION</t>
  </si>
  <si>
    <t>HUELVA 9</t>
  </si>
  <si>
    <t>CALLE BARASA 8</t>
  </si>
  <si>
    <t>PARTICULAR</t>
  </si>
  <si>
    <t>JAVI</t>
  </si>
  <si>
    <t>PLAN BASICO SYS</t>
  </si>
  <si>
    <t>PLAN DE SEGURIDAD</t>
  </si>
  <si>
    <t>TITO CARLOS</t>
  </si>
  <si>
    <t>CERTIFICADO ENERGETICO</t>
  </si>
  <si>
    <t>JOSE - OSUNA</t>
  </si>
  <si>
    <t>OSUNA</t>
  </si>
  <si>
    <t>REALIZADO</t>
  </si>
  <si>
    <t>ENERO</t>
  </si>
  <si>
    <t>FEBRERO</t>
  </si>
  <si>
    <t>MEDICIONES</t>
  </si>
  <si>
    <t>LIRON</t>
  </si>
  <si>
    <t>PROYECTO</t>
  </si>
  <si>
    <t>PROYECTO CUBIERTA CALLE VICTORIA 13</t>
  </si>
  <si>
    <t>MARZO</t>
  </si>
  <si>
    <t>PPTO OBRA</t>
  </si>
  <si>
    <t>PPTO ESPAÑA 21</t>
  </si>
  <si>
    <t>PACO DUARTE</t>
  </si>
  <si>
    <t>REFORMA PELUQUERIA</t>
  </si>
  <si>
    <t>LICITACION</t>
  </si>
  <si>
    <t>si</t>
  </si>
  <si>
    <t>licitacion la doma</t>
  </si>
  <si>
    <t>SERGIO BORJA</t>
  </si>
  <si>
    <t>PLADUR</t>
  </si>
  <si>
    <t>PRESUPUESTO PLADUR - VIVIENDA MATADERO</t>
  </si>
  <si>
    <t>MEDICION OBRA</t>
  </si>
  <si>
    <t>MEDICION ESTRUCTURA VIVIENDA</t>
  </si>
  <si>
    <t>CALLE PEDREGOSA</t>
  </si>
  <si>
    <t>PROYECTO DR</t>
  </si>
  <si>
    <t>TITIN</t>
  </si>
  <si>
    <t>PROYECTO - DR + APERTURA</t>
  </si>
  <si>
    <t>PPTO CASA TITO CARLOS</t>
  </si>
  <si>
    <t>lunes</t>
  </si>
  <si>
    <t>martes</t>
  </si>
  <si>
    <t>miercoles</t>
  </si>
  <si>
    <t>jueves</t>
  </si>
  <si>
    <t>viernes</t>
  </si>
  <si>
    <t>sabado</t>
  </si>
  <si>
    <t>domingo</t>
  </si>
  <si>
    <t>total</t>
  </si>
  <si>
    <t>3/9</t>
  </si>
  <si>
    <t>10/16</t>
  </si>
  <si>
    <t>17/23</t>
  </si>
  <si>
    <t>24/30</t>
  </si>
  <si>
    <t>7horas</t>
  </si>
  <si>
    <t>9/14-16:30/19</t>
  </si>
  <si>
    <t>9:00-14:00/15:00-18:30</t>
  </si>
  <si>
    <t>5 HORAS</t>
  </si>
  <si>
    <t>ABRIL</t>
  </si>
  <si>
    <t>31/6</t>
  </si>
  <si>
    <t>10:30-13:00/15:30-18:30</t>
  </si>
  <si>
    <t>9:00-14:00/15:30-19</t>
  </si>
  <si>
    <t>CERTIFICACION FINAL Y ANALISIS DE PRECIOS</t>
  </si>
  <si>
    <t>7:00-8:00/10:00-14:00 / 15:30-18:30</t>
  </si>
  <si>
    <t>6:00-8:00/12:30-14:00/15:30-19:00</t>
  </si>
  <si>
    <t>7-8/10-12</t>
  </si>
  <si>
    <t>PPTO OBRA - ESTEPONA</t>
  </si>
  <si>
    <t>MIGUEL</t>
  </si>
  <si>
    <t>DEMOLICION CALLE MAYOR ECIJA</t>
  </si>
  <si>
    <t>ARQUITECTO</t>
  </si>
  <si>
    <t>PROYECTO - DEMOLICION</t>
  </si>
  <si>
    <t>7-&gt;13</t>
  </si>
  <si>
    <t>14-&gt;20</t>
  </si>
  <si>
    <t>21-&gt;27</t>
  </si>
  <si>
    <t>MANUE LAGUNA</t>
  </si>
  <si>
    <t>CERTIFICADO GRAFICO DESCRIPTIVO - HUERTA SAN ANTON</t>
  </si>
  <si>
    <t>MES DE ENCARGO</t>
  </si>
  <si>
    <t>MIGUEL CUÑAO INMA</t>
  </si>
  <si>
    <t xml:space="preserve">AFO </t>
  </si>
  <si>
    <t>MODIFICACION PPTO DE SU VIVIENDA</t>
  </si>
  <si>
    <t>CARLA</t>
  </si>
  <si>
    <t>LICENCIA APERTURA</t>
  </si>
  <si>
    <t>28-30</t>
  </si>
  <si>
    <t>mayo</t>
  </si>
  <si>
    <t>1-&gt;4</t>
  </si>
  <si>
    <t>5-&gt;11</t>
  </si>
  <si>
    <t>12-&gt;18</t>
  </si>
  <si>
    <t>19-&gt;25</t>
  </si>
  <si>
    <t>26&gt; 31</t>
  </si>
  <si>
    <t>5+3,5</t>
  </si>
  <si>
    <t>4+2</t>
  </si>
  <si>
    <t>YANCO</t>
  </si>
  <si>
    <t>CALLE GRANADA</t>
  </si>
  <si>
    <t>4+3</t>
  </si>
  <si>
    <t>MAYO</t>
  </si>
  <si>
    <t>PAGO 1</t>
  </si>
  <si>
    <t>PAGO 2</t>
  </si>
  <si>
    <t>PAGO 3</t>
  </si>
  <si>
    <t xml:space="preserve">CHINO </t>
  </si>
  <si>
    <t xml:space="preserve">SOLICITUD VIABILIDAD </t>
  </si>
  <si>
    <t>VIABILIDAD APERTURA</t>
  </si>
  <si>
    <t>IVA 21%</t>
  </si>
  <si>
    <t>3,49+1,5</t>
  </si>
  <si>
    <t>fecha</t>
  </si>
  <si>
    <t>LOCAL CARLA</t>
  </si>
  <si>
    <t>COMISION</t>
  </si>
  <si>
    <t>PPTO OBRA X</t>
  </si>
  <si>
    <t>maru</t>
  </si>
  <si>
    <t xml:space="preserve">GIMNASIO </t>
  </si>
  <si>
    <t>AUTONOMO</t>
  </si>
  <si>
    <t>APERTURA NEGOCIO</t>
  </si>
  <si>
    <t>AGOSTO</t>
  </si>
  <si>
    <t>GUILLE Y NOELIA</t>
  </si>
  <si>
    <t>DR - PUERTA COCHERA POR PUERTA DE ENTRADA</t>
  </si>
  <si>
    <t>DECLARACIÓN RESPONSABLE</t>
  </si>
  <si>
    <t>MANOLO</t>
  </si>
  <si>
    <t>NOTAS</t>
  </si>
  <si>
    <t>PRECIO FINAL</t>
  </si>
  <si>
    <t>MI PRECIO PRECIO</t>
  </si>
  <si>
    <t>CAPTACIÓN DE CLIENTE</t>
  </si>
  <si>
    <t>PAPÁ</t>
  </si>
  <si>
    <t>YO</t>
  </si>
  <si>
    <t>MANOLIYO BERMUDO</t>
  </si>
  <si>
    <t>FRANCISCO RIVERA</t>
  </si>
  <si>
    <t>BRENDA</t>
  </si>
  <si>
    <t>INSTAGRAM</t>
  </si>
  <si>
    <t>MADRE JAVIVI</t>
  </si>
  <si>
    <t>REFOMA BAÑOS - PROJETCT MANAGEMENT</t>
  </si>
  <si>
    <t>FECHA INICIO</t>
  </si>
  <si>
    <t>FECHA TERMINACIÓN</t>
  </si>
  <si>
    <t>MARICARMEN OSTOS</t>
  </si>
  <si>
    <t>ARIZA</t>
  </si>
  <si>
    <t>IRPF 15%</t>
  </si>
  <si>
    <t>JULIO</t>
  </si>
  <si>
    <t>CATPACIÓN CLIENTE</t>
  </si>
  <si>
    <t>demolicion</t>
  </si>
  <si>
    <t>legalizacion</t>
  </si>
  <si>
    <t>1600+iva</t>
  </si>
  <si>
    <t>2300+iva</t>
  </si>
  <si>
    <t>APERTURA NEGOCIO + obra legalizada</t>
  </si>
  <si>
    <t>iva</t>
  </si>
  <si>
    <t>adriano</t>
  </si>
  <si>
    <t>CARTERA</t>
  </si>
  <si>
    <t>DIRECCION DE OBRA Y CSS PADILLA</t>
  </si>
  <si>
    <t>DEO</t>
  </si>
  <si>
    <t>PAPA</t>
  </si>
  <si>
    <t>CALLE HUELVA 7</t>
  </si>
  <si>
    <t>CALLE HUELVA 9</t>
  </si>
  <si>
    <t>AVENIDA ADRIANO</t>
  </si>
  <si>
    <t>PRESUPUESTO EN CURSO</t>
  </si>
  <si>
    <t>actualizado 23/09/2025</t>
  </si>
  <si>
    <t>CALLE huelva 9</t>
  </si>
  <si>
    <t>ZACA</t>
  </si>
  <si>
    <t>CALLE SAN BENITO</t>
  </si>
  <si>
    <t>PLANOS + MEDICIONES</t>
  </si>
  <si>
    <t>OCTUBRE</t>
  </si>
  <si>
    <t>SERGIO TIRADO</t>
  </si>
  <si>
    <t>DR- COCHERA</t>
  </si>
  <si>
    <t>ESTUDIO REFORMA PISO</t>
  </si>
  <si>
    <t>JOSE PRADA</t>
  </si>
  <si>
    <t>REVICASA</t>
  </si>
  <si>
    <t>ESPARTINAS</t>
  </si>
  <si>
    <t>EMPRESA</t>
  </si>
  <si>
    <t>INSPECCION</t>
  </si>
  <si>
    <t>INSPECCION dos hermanas</t>
  </si>
  <si>
    <t>PLANOS</t>
  </si>
  <si>
    <t>ALEJANDRO</t>
  </si>
  <si>
    <t>INFORME PATOLOGICO + ARREGLO DE PATOLOGIA</t>
  </si>
  <si>
    <t>DOS HERMANAS</t>
  </si>
  <si>
    <t>INFORME PERICIAL</t>
  </si>
  <si>
    <t>AYTO ECIJA</t>
  </si>
  <si>
    <t>PUBLICO</t>
  </si>
  <si>
    <t>DIRECCION Y CSS GEMELAS</t>
  </si>
  <si>
    <t>PROYECTO Y ESS GEMELAS</t>
  </si>
  <si>
    <t>CUÑAO CARMEN ROCIO</t>
  </si>
  <si>
    <t>PROYECTO Y DEO</t>
  </si>
  <si>
    <t>SERGIO NEGRO</t>
  </si>
  <si>
    <t>PROYECTO VIVIENDA</t>
  </si>
  <si>
    <t>EL FUERTE</t>
  </si>
  <si>
    <t>LALUISIANA</t>
  </si>
  <si>
    <t>JAVI FONTANERO PAULA</t>
  </si>
  <si>
    <t>ADRIANO</t>
  </si>
  <si>
    <t>NI IDEA</t>
  </si>
  <si>
    <t>JOSE DAVID</t>
  </si>
  <si>
    <t>ppto avenida los emigrantes</t>
  </si>
  <si>
    <t>INSPECCION ESPARTINAS - FERNNADO</t>
  </si>
  <si>
    <t>INSPECCION ESPARTINAS- ALEJANDRO</t>
  </si>
  <si>
    <t>NOVIEMBRE</t>
  </si>
  <si>
    <t>PISO SEVILLA - TINSA</t>
  </si>
  <si>
    <t>SEVILLA</t>
  </si>
  <si>
    <t>actualizado 10/11/2025</t>
  </si>
  <si>
    <t>NOVIMEBRE</t>
  </si>
  <si>
    <t>PROYECTO SEGREGACION</t>
  </si>
  <si>
    <t>ANTONIO ECILIMP</t>
  </si>
  <si>
    <t>NARF</t>
  </si>
  <si>
    <t>PLAN DE EMERGENCIA</t>
  </si>
  <si>
    <t>DOSHERMANAS</t>
  </si>
  <si>
    <t>PISO SEVILLA - TINSA - S.M</t>
  </si>
  <si>
    <t>DOS HERMANAS - SM</t>
  </si>
  <si>
    <t>INSPECCION dos hermanas - SM</t>
  </si>
  <si>
    <t>INSPECCION ESPARTINAS - ON</t>
  </si>
  <si>
    <t>ESPARTINAS - ON</t>
  </si>
  <si>
    <t>CARLIYO</t>
  </si>
  <si>
    <t>CERTIFICACION</t>
  </si>
  <si>
    <t>ESPARTINAS - ON barbeito 71</t>
  </si>
  <si>
    <t>sevilla ave de las ciencias 4d</t>
  </si>
  <si>
    <t>sevilla</t>
  </si>
  <si>
    <t>mio</t>
  </si>
  <si>
    <t>local comercial a vivienda</t>
  </si>
  <si>
    <t>isaac</t>
  </si>
  <si>
    <t>MOMO</t>
  </si>
  <si>
    <t>AMPLIACION CASA NAVE</t>
  </si>
  <si>
    <t>FONCLISUR</t>
  </si>
  <si>
    <t>3D</t>
  </si>
  <si>
    <t>JOSE NAVE</t>
  </si>
  <si>
    <t>TRASPASO LICENCIA</t>
  </si>
  <si>
    <t>CAFETERIA EL VAGON</t>
  </si>
  <si>
    <t>DICIEMBRE</t>
  </si>
  <si>
    <t xml:space="preserve">CARLOS </t>
  </si>
  <si>
    <t>TRMITAR LICENCIA OBRA</t>
  </si>
  <si>
    <t>TRAMITE DE LICENCIA</t>
  </si>
  <si>
    <t>GESTORIA</t>
  </si>
  <si>
    <t>JUANA</t>
  </si>
  <si>
    <t>AFO</t>
  </si>
  <si>
    <t>CERTIFICADO ADMINSITRATIVO Y GRAFICO</t>
  </si>
  <si>
    <t>JUAN ARIZA</t>
  </si>
  <si>
    <t>VILLAFRANCA - C/ALCOLEA 9 -PC</t>
  </si>
  <si>
    <t>DOS HERMANAS - ON</t>
  </si>
  <si>
    <t>SEVILLA-  C/SAN SALVADOR</t>
  </si>
  <si>
    <t>MARU</t>
  </si>
  <si>
    <t>JUNIO</t>
  </si>
  <si>
    <t>SEPTIEMBRE</t>
  </si>
  <si>
    <t>MES</t>
  </si>
  <si>
    <t>AÑO</t>
  </si>
  <si>
    <t>MEDICONES</t>
  </si>
  <si>
    <t>APERTURA NEGOCIO + OBRA</t>
  </si>
  <si>
    <t>REFOMA BAÑOS - PLANOS</t>
  </si>
  <si>
    <t>REFOMA BAÑOS - MEDICIONES</t>
  </si>
  <si>
    <t>ENCARGO</t>
  </si>
  <si>
    <t>COLABORADOR</t>
  </si>
  <si>
    <t>MIGUEL ANGEL</t>
  </si>
  <si>
    <t>RAFA ALHAMA</t>
  </si>
  <si>
    <t>VITALDENT</t>
  </si>
  <si>
    <t>JAVO ROJAS</t>
  </si>
  <si>
    <t>ECILIMP</t>
  </si>
  <si>
    <t>TALI</t>
  </si>
  <si>
    <t>PROYECTO APERTURA</t>
  </si>
  <si>
    <t>TALI - FICHA DE VENTA</t>
  </si>
  <si>
    <t>BAR LUISISNA</t>
  </si>
  <si>
    <t>PROYECTO REFORMA</t>
  </si>
  <si>
    <t>PROYECTO - AFO</t>
  </si>
  <si>
    <t>2+1,5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</si>
</sst>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4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6CC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5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Border="1"/>
    <xf numFmtId="0" fontId="0" fillId="0" borderId="9" xfId="0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 applyAlignment="1">
      <alignment horizontal="center"/>
    </xf>
    <xf numFmtId="16" fontId="0" fillId="0" borderId="8" xfId="0" applyNumberFormat="1" applyBorder="1"/>
    <xf numFmtId="0" fontId="0" fillId="0" borderId="13" xfId="0" applyBorder="1"/>
    <xf numFmtId="16" fontId="0" fillId="0" borderId="10" xfId="0" applyNumberFormat="1" applyBorder="1"/>
    <xf numFmtId="14" fontId="0" fillId="0" borderId="8" xfId="0" applyNumberFormat="1" applyBorder="1"/>
    <xf numFmtId="0" fontId="1" fillId="3" borderId="3" xfId="0" applyFont="1" applyFill="1" applyBorder="1"/>
    <xf numFmtId="0" fontId="1" fillId="5" borderId="18" xfId="0" applyFont="1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7" borderId="7" xfId="0" applyFill="1" applyBorder="1"/>
    <xf numFmtId="0" fontId="0" fillId="7" borderId="1" xfId="0" applyFill="1" applyBorder="1"/>
    <xf numFmtId="0" fontId="0" fillId="7" borderId="3" xfId="0" applyFill="1" applyBorder="1"/>
    <xf numFmtId="16" fontId="0" fillId="7" borderId="8" xfId="0" applyNumberFormat="1" applyFill="1" applyBorder="1"/>
    <xf numFmtId="0" fontId="0" fillId="7" borderId="13" xfId="0" applyFill="1" applyBorder="1"/>
    <xf numFmtId="16" fontId="0" fillId="7" borderId="10" xfId="0" applyNumberFormat="1" applyFill="1" applyBorder="1"/>
    <xf numFmtId="0" fontId="0" fillId="6" borderId="8" xfId="0" applyFill="1" applyBorder="1"/>
    <xf numFmtId="0" fontId="0" fillId="6" borderId="10" xfId="0" applyFill="1" applyBorder="1"/>
    <xf numFmtId="0" fontId="0" fillId="8" borderId="7" xfId="0" applyFill="1" applyBorder="1"/>
    <xf numFmtId="0" fontId="0" fillId="8" borderId="1" xfId="0" applyFill="1" applyBorder="1"/>
    <xf numFmtId="0" fontId="0" fillId="8" borderId="3" xfId="0" applyFill="1" applyBorder="1"/>
    <xf numFmtId="0" fontId="0" fillId="8" borderId="8" xfId="0" applyFill="1" applyBorder="1"/>
    <xf numFmtId="16" fontId="0" fillId="8" borderId="8" xfId="0" applyNumberFormat="1" applyFill="1" applyBorder="1"/>
    <xf numFmtId="0" fontId="0" fillId="8" borderId="13" xfId="0" applyFill="1" applyBorder="1"/>
    <xf numFmtId="0" fontId="0" fillId="8" borderId="17" xfId="0" applyFill="1" applyBorder="1"/>
    <xf numFmtId="0" fontId="0" fillId="6" borderId="4" xfId="0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1" fillId="3" borderId="26" xfId="0" applyFont="1" applyFill="1" applyBorder="1"/>
    <xf numFmtId="0" fontId="1" fillId="3" borderId="2" xfId="0" applyFont="1" applyFill="1" applyBorder="1"/>
    <xf numFmtId="0" fontId="1" fillId="3" borderId="28" xfId="0" applyFont="1" applyFill="1" applyBorder="1"/>
    <xf numFmtId="0" fontId="0" fillId="4" borderId="34" xfId="0" applyFill="1" applyBorder="1"/>
    <xf numFmtId="0" fontId="0" fillId="6" borderId="35" xfId="0" applyFill="1" applyBorder="1"/>
    <xf numFmtId="44" fontId="0" fillId="0" borderId="18" xfId="1" applyFont="1" applyFill="1" applyBorder="1"/>
    <xf numFmtId="0" fontId="0" fillId="0" borderId="37" xfId="0" applyBorder="1"/>
    <xf numFmtId="0" fontId="0" fillId="7" borderId="4" xfId="0" applyFill="1" applyBorder="1"/>
    <xf numFmtId="0" fontId="0" fillId="8" borderId="4" xfId="0" applyFill="1" applyBorder="1"/>
    <xf numFmtId="0" fontId="0" fillId="7" borderId="19" xfId="0" applyFill="1" applyBorder="1"/>
    <xf numFmtId="0" fontId="0" fillId="0" borderId="18" xfId="0" applyBorder="1"/>
    <xf numFmtId="0" fontId="0" fillId="6" borderId="36" xfId="0" applyFill="1" applyBorder="1"/>
    <xf numFmtId="16" fontId="0" fillId="7" borderId="15" xfId="0" applyNumberFormat="1" applyFill="1" applyBorder="1"/>
    <xf numFmtId="0" fontId="0" fillId="7" borderId="39" xfId="0" applyFill="1" applyBorder="1"/>
    <xf numFmtId="0" fontId="0" fillId="7" borderId="36" xfId="0" applyFill="1" applyBorder="1"/>
    <xf numFmtId="0" fontId="0" fillId="0" borderId="39" xfId="0" applyBorder="1"/>
    <xf numFmtId="0" fontId="0" fillId="0" borderId="8" xfId="0" applyBorder="1"/>
    <xf numFmtId="16" fontId="0" fillId="0" borderId="36" xfId="0" applyNumberFormat="1" applyBorder="1"/>
    <xf numFmtId="0" fontId="0" fillId="8" borderId="36" xfId="0" applyFill="1" applyBorder="1"/>
    <xf numFmtId="0" fontId="0" fillId="6" borderId="40" xfId="0" applyFill="1" applyBorder="1"/>
    <xf numFmtId="44" fontId="0" fillId="0" borderId="26" xfId="1" applyFont="1" applyFill="1" applyBorder="1"/>
    <xf numFmtId="0" fontId="0" fillId="0" borderId="19" xfId="0" applyBorder="1"/>
    <xf numFmtId="0" fontId="0" fillId="8" borderId="19" xfId="0" applyFill="1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6" xfId="0" applyBorder="1"/>
    <xf numFmtId="0" fontId="0" fillId="0" borderId="44" xfId="0" applyBorder="1"/>
    <xf numFmtId="0" fontId="0" fillId="0" borderId="45" xfId="0" applyBorder="1"/>
    <xf numFmtId="0" fontId="0" fillId="0" borderId="17" xfId="0" applyBorder="1"/>
    <xf numFmtId="14" fontId="0" fillId="8" borderId="8" xfId="0" applyNumberFormat="1" applyFill="1" applyBorder="1"/>
    <xf numFmtId="0" fontId="0" fillId="2" borderId="1" xfId="0" applyFill="1" applyBorder="1"/>
    <xf numFmtId="0" fontId="0" fillId="9" borderId="1" xfId="0" applyFill="1" applyBorder="1"/>
    <xf numFmtId="0" fontId="0" fillId="6" borderId="41" xfId="0" applyFill="1" applyBorder="1"/>
    <xf numFmtId="0" fontId="0" fillId="7" borderId="35" xfId="0" applyFill="1" applyBorder="1"/>
    <xf numFmtId="0" fontId="0" fillId="7" borderId="46" xfId="0" applyFill="1" applyBorder="1"/>
    <xf numFmtId="0" fontId="0" fillId="7" borderId="47" xfId="0" applyFill="1" applyBorder="1"/>
    <xf numFmtId="16" fontId="0" fillId="7" borderId="41" xfId="0" applyNumberFormat="1" applyFill="1" applyBorder="1"/>
    <xf numFmtId="0" fontId="0" fillId="0" borderId="35" xfId="0" applyBorder="1"/>
    <xf numFmtId="0" fontId="0" fillId="0" borderId="46" xfId="0" applyBorder="1"/>
    <xf numFmtId="0" fontId="0" fillId="0" borderId="47" xfId="0" applyBorder="1"/>
    <xf numFmtId="16" fontId="0" fillId="0" borderId="41" xfId="0" applyNumberFormat="1" applyBorder="1"/>
    <xf numFmtId="0" fontId="0" fillId="8" borderId="35" xfId="0" applyFill="1" applyBorder="1"/>
    <xf numFmtId="0" fontId="0" fillId="8" borderId="46" xfId="0" applyFill="1" applyBorder="1"/>
    <xf numFmtId="0" fontId="0" fillId="8" borderId="47" xfId="0" applyFill="1" applyBorder="1"/>
    <xf numFmtId="0" fontId="0" fillId="0" borderId="41" xfId="0" applyBorder="1"/>
    <xf numFmtId="0" fontId="0" fillId="0" borderId="15" xfId="0" applyBorder="1"/>
    <xf numFmtId="0" fontId="0" fillId="6" borderId="27" xfId="0" applyFill="1" applyBorder="1"/>
    <xf numFmtId="0" fontId="0" fillId="6" borderId="49" xfId="0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50" xfId="0" applyFill="1" applyBorder="1"/>
    <xf numFmtId="16" fontId="0" fillId="7" borderId="49" xfId="0" applyNumberFormat="1" applyFill="1" applyBorder="1"/>
    <xf numFmtId="0" fontId="0" fillId="0" borderId="27" xfId="0" applyBorder="1"/>
    <xf numFmtId="0" fontId="0" fillId="0" borderId="28" xfId="0" applyBorder="1"/>
    <xf numFmtId="0" fontId="0" fillId="0" borderId="50" xfId="0" applyBorder="1"/>
    <xf numFmtId="16" fontId="0" fillId="0" borderId="49" xfId="0" applyNumberFormat="1" applyBorder="1"/>
    <xf numFmtId="0" fontId="0" fillId="8" borderId="27" xfId="0" applyFill="1" applyBorder="1"/>
    <xf numFmtId="0" fontId="0" fillId="8" borderId="28" xfId="0" applyFill="1" applyBorder="1"/>
    <xf numFmtId="0" fontId="0" fillId="8" borderId="50" xfId="0" applyFill="1" applyBorder="1"/>
    <xf numFmtId="0" fontId="0" fillId="0" borderId="49" xfId="0" applyBorder="1"/>
    <xf numFmtId="0" fontId="0" fillId="6" borderId="44" xfId="0" applyFill="1" applyBorder="1"/>
    <xf numFmtId="0" fontId="0" fillId="6" borderId="6" xfId="0" applyFill="1" applyBorder="1"/>
    <xf numFmtId="0" fontId="0" fillId="7" borderId="44" xfId="0" applyFill="1" applyBorder="1"/>
    <xf numFmtId="0" fontId="0" fillId="7" borderId="11" xfId="0" applyFill="1" applyBorder="1"/>
    <xf numFmtId="16" fontId="0" fillId="7" borderId="6" xfId="0" applyNumberFormat="1" applyFill="1" applyBorder="1"/>
    <xf numFmtId="16" fontId="0" fillId="0" borderId="6" xfId="0" applyNumberFormat="1" applyBorder="1"/>
    <xf numFmtId="0" fontId="0" fillId="8" borderId="44" xfId="0" applyFill="1" applyBorder="1"/>
    <xf numFmtId="0" fontId="0" fillId="8" borderId="11" xfId="0" applyFill="1" applyBorder="1"/>
    <xf numFmtId="0" fontId="0" fillId="8" borderId="6" xfId="0" applyFill="1" applyBorder="1"/>
    <xf numFmtId="0" fontId="0" fillId="6" borderId="19" xfId="0" applyFill="1" applyBorder="1"/>
    <xf numFmtId="0" fontId="0" fillId="7" borderId="17" xfId="0" applyFill="1" applyBorder="1"/>
    <xf numFmtId="14" fontId="0" fillId="8" borderId="10" xfId="0" applyNumberFormat="1" applyFill="1" applyBorder="1"/>
    <xf numFmtId="0" fontId="0" fillId="7" borderId="40" xfId="0" applyFill="1" applyBorder="1"/>
    <xf numFmtId="0" fontId="0" fillId="0" borderId="40" xfId="0" applyBorder="1"/>
    <xf numFmtId="0" fontId="0" fillId="7" borderId="45" xfId="0" applyFill="1" applyBorder="1"/>
    <xf numFmtId="0" fontId="0" fillId="8" borderId="5" xfId="0" applyFill="1" applyBorder="1"/>
    <xf numFmtId="0" fontId="0" fillId="8" borderId="45" xfId="0" applyFill="1" applyBorder="1"/>
    <xf numFmtId="0" fontId="0" fillId="8" borderId="10" xfId="0" applyFill="1" applyBorder="1"/>
    <xf numFmtId="0" fontId="0" fillId="8" borderId="40" xfId="0" applyFill="1" applyBorder="1"/>
    <xf numFmtId="16" fontId="0" fillId="8" borderId="41" xfId="0" applyNumberFormat="1" applyFill="1" applyBorder="1"/>
    <xf numFmtId="0" fontId="0" fillId="7" borderId="5" xfId="0" applyFill="1" applyBorder="1"/>
    <xf numFmtId="0" fontId="0" fillId="6" borderId="9" xfId="0" applyFill="1" applyBorder="1"/>
    <xf numFmtId="0" fontId="0" fillId="6" borderId="51" xfId="0" applyFill="1" applyBorder="1"/>
    <xf numFmtId="0" fontId="0" fillId="7" borderId="9" xfId="0" applyFill="1" applyBorder="1"/>
    <xf numFmtId="0" fontId="0" fillId="7" borderId="51" xfId="0" applyFill="1" applyBorder="1"/>
    <xf numFmtId="16" fontId="0" fillId="7" borderId="22" xfId="0" applyNumberFormat="1" applyFill="1" applyBorder="1"/>
    <xf numFmtId="0" fontId="0" fillId="0" borderId="52" xfId="0" applyBorder="1"/>
    <xf numFmtId="16" fontId="0" fillId="0" borderId="51" xfId="0" applyNumberFormat="1" applyBorder="1"/>
    <xf numFmtId="0" fontId="0" fillId="8" borderId="52" xfId="0" applyFill="1" applyBorder="1"/>
    <xf numFmtId="0" fontId="0" fillId="8" borderId="53" xfId="0" applyFill="1" applyBorder="1"/>
    <xf numFmtId="14" fontId="0" fillId="8" borderId="54" xfId="0" applyNumberFormat="1" applyFill="1" applyBorder="1"/>
    <xf numFmtId="14" fontId="0" fillId="8" borderId="41" xfId="0" applyNumberFormat="1" applyFill="1" applyBorder="1"/>
    <xf numFmtId="2" fontId="0" fillId="0" borderId="1" xfId="0" applyNumberFormat="1" applyBorder="1"/>
    <xf numFmtId="0" fontId="0" fillId="11" borderId="13" xfId="0" applyFill="1" applyBorder="1"/>
    <xf numFmtId="0" fontId="0" fillId="18" borderId="1" xfId="0" applyFill="1" applyBorder="1"/>
    <xf numFmtId="2" fontId="0" fillId="0" borderId="18" xfId="0" applyNumberFormat="1" applyBorder="1"/>
    <xf numFmtId="164" fontId="0" fillId="0" borderId="1" xfId="0" applyNumberFormat="1" applyBorder="1"/>
    <xf numFmtId="164" fontId="0" fillId="0" borderId="26" xfId="0" applyNumberFormat="1" applyBorder="1"/>
    <xf numFmtId="0" fontId="0" fillId="17" borderId="55" xfId="0" applyFill="1" applyBorder="1"/>
    <xf numFmtId="0" fontId="0" fillId="17" borderId="56" xfId="0" applyFill="1" applyBorder="1"/>
    <xf numFmtId="0" fontId="0" fillId="0" borderId="23" xfId="0" applyBorder="1"/>
    <xf numFmtId="0" fontId="0" fillId="12" borderId="26" xfId="0" applyFill="1" applyBorder="1"/>
    <xf numFmtId="0" fontId="0" fillId="0" borderId="26" xfId="0" applyBorder="1"/>
    <xf numFmtId="0" fontId="0" fillId="10" borderId="13" xfId="0" applyFill="1" applyBorder="1"/>
    <xf numFmtId="0" fontId="0" fillId="20" borderId="29" xfId="0" applyFill="1" applyBorder="1"/>
    <xf numFmtId="0" fontId="0" fillId="20" borderId="30" xfId="0" applyFill="1" applyBorder="1"/>
    <xf numFmtId="0" fontId="0" fillId="20" borderId="34" xfId="0" applyFill="1" applyBorder="1"/>
    <xf numFmtId="49" fontId="0" fillId="0" borderId="57" xfId="0" applyNumberFormat="1" applyBorder="1"/>
    <xf numFmtId="0" fontId="0" fillId="6" borderId="26" xfId="0" applyFill="1" applyBorder="1"/>
    <xf numFmtId="49" fontId="0" fillId="0" borderId="38" xfId="0" applyNumberFormat="1" applyBorder="1"/>
    <xf numFmtId="0" fontId="0" fillId="6" borderId="1" xfId="0" applyFill="1" applyBorder="1"/>
    <xf numFmtId="0" fontId="0" fillId="0" borderId="38" xfId="0" applyBorder="1"/>
    <xf numFmtId="0" fontId="0" fillId="21" borderId="0" xfId="0" applyFill="1"/>
    <xf numFmtId="0" fontId="0" fillId="21" borderId="37" xfId="0" applyFill="1" applyBorder="1"/>
    <xf numFmtId="0" fontId="0" fillId="21" borderId="35" xfId="0" applyFill="1" applyBorder="1"/>
    <xf numFmtId="0" fontId="0" fillId="21" borderId="46" xfId="0" applyFill="1" applyBorder="1"/>
    <xf numFmtId="0" fontId="0" fillId="2" borderId="46" xfId="0" applyFill="1" applyBorder="1"/>
    <xf numFmtId="0" fontId="0" fillId="16" borderId="3" xfId="0" applyFill="1" applyBorder="1"/>
    <xf numFmtId="0" fontId="0" fillId="5" borderId="17" xfId="0" applyFill="1" applyBorder="1"/>
    <xf numFmtId="17" fontId="0" fillId="0" borderId="1" xfId="0" applyNumberFormat="1" applyBorder="1"/>
    <xf numFmtId="0" fontId="0" fillId="20" borderId="1" xfId="0" applyFill="1" applyBorder="1"/>
    <xf numFmtId="0" fontId="0" fillId="22" borderId="1" xfId="0" applyFill="1" applyBorder="1"/>
    <xf numFmtId="0" fontId="0" fillId="0" borderId="0" xfId="0" applyAlignment="1">
      <alignment horizontal="center" vertical="center"/>
    </xf>
    <xf numFmtId="0" fontId="0" fillId="0" borderId="58" xfId="0" applyBorder="1"/>
    <xf numFmtId="0" fontId="0" fillId="6" borderId="46" xfId="0" applyFill="1" applyBorder="1"/>
    <xf numFmtId="0" fontId="0" fillId="22" borderId="46" xfId="0" applyFill="1" applyBorder="1"/>
    <xf numFmtId="0" fontId="0" fillId="22" borderId="0" xfId="0" applyFill="1"/>
    <xf numFmtId="0" fontId="0" fillId="20" borderId="0" xfId="0" applyFill="1"/>
    <xf numFmtId="14" fontId="0" fillId="7" borderId="0" xfId="0" applyNumberFormat="1" applyFill="1"/>
    <xf numFmtId="0" fontId="6" fillId="23" borderId="44" xfId="0" applyFont="1" applyFill="1" applyBorder="1"/>
    <xf numFmtId="0" fontId="0" fillId="2" borderId="13" xfId="0" applyFill="1" applyBorder="1"/>
    <xf numFmtId="0" fontId="0" fillId="23" borderId="44" xfId="0" applyFill="1" applyBorder="1"/>
    <xf numFmtId="0" fontId="0" fillId="16" borderId="1" xfId="0" applyFill="1" applyBorder="1"/>
    <xf numFmtId="0" fontId="0" fillId="17" borderId="18" xfId="0" applyFill="1" applyBorder="1"/>
    <xf numFmtId="0" fontId="0" fillId="11" borderId="1" xfId="0" applyFill="1" applyBorder="1"/>
    <xf numFmtId="0" fontId="0" fillId="19" borderId="1" xfId="0" applyFill="1" applyBorder="1"/>
    <xf numFmtId="0" fontId="0" fillId="5" borderId="13" xfId="0" applyFill="1" applyBorder="1"/>
    <xf numFmtId="0" fontId="0" fillId="12" borderId="11" xfId="0" applyFill="1" applyBorder="1"/>
    <xf numFmtId="0" fontId="0" fillId="17" borderId="59" xfId="0" applyFill="1" applyBorder="1"/>
    <xf numFmtId="0" fontId="0" fillId="23" borderId="4" xfId="0" applyFill="1" applyBorder="1"/>
    <xf numFmtId="16" fontId="0" fillId="0" borderId="3" xfId="0" applyNumberFormat="1" applyBorder="1"/>
    <xf numFmtId="16" fontId="0" fillId="0" borderId="45" xfId="0" applyNumberFormat="1" applyBorder="1"/>
    <xf numFmtId="14" fontId="0" fillId="0" borderId="3" xfId="0" applyNumberFormat="1" applyBorder="1"/>
    <xf numFmtId="16" fontId="0" fillId="0" borderId="17" xfId="0" applyNumberFormat="1" applyBorder="1"/>
    <xf numFmtId="0" fontId="0" fillId="0" borderId="2" xfId="0" applyBorder="1"/>
    <xf numFmtId="0" fontId="0" fillId="17" borderId="60" xfId="0" applyFill="1" applyBorder="1"/>
    <xf numFmtId="0" fontId="0" fillId="16" borderId="4" xfId="0" applyFill="1" applyBorder="1"/>
    <xf numFmtId="0" fontId="0" fillId="5" borderId="19" xfId="0" applyFill="1" applyBorder="1"/>
    <xf numFmtId="0" fontId="0" fillId="17" borderId="54" xfId="0" applyFill="1" applyBorder="1"/>
    <xf numFmtId="0" fontId="0" fillId="16" borderId="7" xfId="0" applyFill="1" applyBorder="1"/>
    <xf numFmtId="0" fontId="0" fillId="16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61" xfId="0" applyBorder="1"/>
    <xf numFmtId="0" fontId="0" fillId="0" borderId="24" xfId="0" applyBorder="1"/>
    <xf numFmtId="16" fontId="0" fillId="0" borderId="44" xfId="0" applyNumberFormat="1" applyBorder="1"/>
    <xf numFmtId="16" fontId="0" fillId="0" borderId="4" xfId="0" applyNumberFormat="1" applyBorder="1"/>
    <xf numFmtId="0" fontId="0" fillId="24" borderId="13" xfId="0" applyFill="1" applyBorder="1"/>
    <xf numFmtId="16" fontId="0" fillId="0" borderId="13" xfId="0" applyNumberFormat="1" applyBorder="1"/>
    <xf numFmtId="16" fontId="0" fillId="0" borderId="1" xfId="0" applyNumberFormat="1" applyBorder="1"/>
    <xf numFmtId="0" fontId="0" fillId="2" borderId="11" xfId="0" applyFill="1" applyBorder="1"/>
    <xf numFmtId="0" fontId="0" fillId="20" borderId="18" xfId="0" applyFill="1" applyBorder="1" applyAlignment="1">
      <alignment horizontal="center"/>
    </xf>
    <xf numFmtId="0" fontId="0" fillId="20" borderId="32" xfId="0" applyFill="1" applyBorder="1" applyAlignment="1">
      <alignment horizontal="center"/>
    </xf>
    <xf numFmtId="0" fontId="0" fillId="20" borderId="42" xfId="0" applyFill="1" applyBorder="1" applyAlignment="1">
      <alignment horizontal="center"/>
    </xf>
    <xf numFmtId="0" fontId="0" fillId="15" borderId="18" xfId="0" applyFill="1" applyBorder="1"/>
    <xf numFmtId="14" fontId="0" fillId="7" borderId="18" xfId="0" applyNumberFormat="1" applyFill="1" applyBorder="1"/>
    <xf numFmtId="0" fontId="0" fillId="0" borderId="63" xfId="0" applyBorder="1"/>
    <xf numFmtId="0" fontId="0" fillId="0" borderId="53" xfId="0" applyBorder="1"/>
    <xf numFmtId="0" fontId="1" fillId="25" borderId="64" xfId="0" applyFont="1" applyFill="1" applyBorder="1"/>
    <xf numFmtId="164" fontId="1" fillId="25" borderId="64" xfId="0" applyNumberFormat="1" applyFont="1" applyFill="1" applyBorder="1"/>
    <xf numFmtId="164" fontId="0" fillId="0" borderId="3" xfId="0" applyNumberFormat="1" applyBorder="1"/>
    <xf numFmtId="0" fontId="0" fillId="26" borderId="26" xfId="0" applyFill="1" applyBorder="1"/>
    <xf numFmtId="0" fontId="0" fillId="4" borderId="55" xfId="0" applyFill="1" applyBorder="1"/>
    <xf numFmtId="0" fontId="0" fillId="4" borderId="56" xfId="0" applyFill="1" applyBorder="1"/>
    <xf numFmtId="0" fontId="0" fillId="4" borderId="59" xfId="0" applyFill="1" applyBorder="1"/>
    <xf numFmtId="0" fontId="0" fillId="23" borderId="11" xfId="0" applyFill="1" applyBorder="1"/>
    <xf numFmtId="0" fontId="0" fillId="23" borderId="1" xfId="0" applyFill="1" applyBorder="1"/>
    <xf numFmtId="0" fontId="0" fillId="23" borderId="13" xfId="0" applyFill="1" applyBorder="1"/>
    <xf numFmtId="0" fontId="0" fillId="23" borderId="26" xfId="0" applyFill="1" applyBorder="1"/>
    <xf numFmtId="0" fontId="0" fillId="2" borderId="26" xfId="0" applyFill="1" applyBorder="1"/>
    <xf numFmtId="0" fontId="0" fillId="26" borderId="37" xfId="0" applyFill="1" applyBorder="1"/>
    <xf numFmtId="164" fontId="1" fillId="25" borderId="65" xfId="0" applyNumberFormat="1" applyFont="1" applyFill="1" applyBorder="1"/>
    <xf numFmtId="0" fontId="0" fillId="0" borderId="60" xfId="0" applyBorder="1"/>
    <xf numFmtId="0" fontId="0" fillId="0" borderId="56" xfId="0" applyBorder="1"/>
    <xf numFmtId="0" fontId="0" fillId="0" borderId="59" xfId="0" applyBorder="1"/>
    <xf numFmtId="0" fontId="0" fillId="0" borderId="54" xfId="0" applyBorder="1"/>
    <xf numFmtId="0" fontId="0" fillId="0" borderId="55" xfId="0" applyBorder="1"/>
    <xf numFmtId="16" fontId="0" fillId="0" borderId="60" xfId="0" applyNumberFormat="1" applyBorder="1"/>
    <xf numFmtId="164" fontId="0" fillId="0" borderId="47" xfId="0" applyNumberFormat="1" applyBorder="1"/>
    <xf numFmtId="44" fontId="0" fillId="0" borderId="1" xfId="1" applyFont="1" applyBorder="1"/>
    <xf numFmtId="0" fontId="0" fillId="27" borderId="1" xfId="0" applyFill="1" applyBorder="1"/>
    <xf numFmtId="0" fontId="0" fillId="26" borderId="1" xfId="0" applyFill="1" applyBorder="1"/>
    <xf numFmtId="164" fontId="1" fillId="25" borderId="66" xfId="0" applyNumberFormat="1" applyFont="1" applyFill="1" applyBorder="1"/>
    <xf numFmtId="164" fontId="1" fillId="25" borderId="67" xfId="0" applyNumberFormat="1" applyFont="1" applyFill="1" applyBorder="1"/>
    <xf numFmtId="0" fontId="0" fillId="15" borderId="14" xfId="0" applyFill="1" applyBorder="1"/>
    <xf numFmtId="0" fontId="0" fillId="20" borderId="14" xfId="0" applyFill="1" applyBorder="1" applyAlignment="1">
      <alignment horizontal="center"/>
    </xf>
    <xf numFmtId="0" fontId="0" fillId="20" borderId="62" xfId="0" applyFill="1" applyBorder="1" applyAlignment="1">
      <alignment horizontal="center"/>
    </xf>
    <xf numFmtId="0" fontId="0" fillId="20" borderId="68" xfId="0" applyFill="1" applyBorder="1" applyAlignment="1">
      <alignment horizontal="center"/>
    </xf>
    <xf numFmtId="0" fontId="0" fillId="0" borderId="14" xfId="0" applyBorder="1"/>
    <xf numFmtId="0" fontId="0" fillId="26" borderId="21" xfId="0" applyFill="1" applyBorder="1"/>
    <xf numFmtId="0" fontId="0" fillId="26" borderId="22" xfId="0" applyFill="1" applyBorder="1"/>
    <xf numFmtId="0" fontId="0" fillId="13" borderId="32" xfId="0" applyFill="1" applyBorder="1" applyAlignment="1">
      <alignment horizontal="center"/>
    </xf>
    <xf numFmtId="0" fontId="0" fillId="13" borderId="1" xfId="0" applyFill="1" applyBorder="1"/>
    <xf numFmtId="16" fontId="0" fillId="0" borderId="2" xfId="0" applyNumberFormat="1" applyBorder="1"/>
    <xf numFmtId="16" fontId="0" fillId="0" borderId="50" xfId="0" applyNumberFormat="1" applyBorder="1"/>
    <xf numFmtId="0" fontId="0" fillId="26" borderId="19" xfId="0" applyFill="1" applyBorder="1"/>
    <xf numFmtId="14" fontId="0" fillId="8" borderId="47" xfId="0" applyNumberFormat="1" applyFill="1" applyBorder="1"/>
    <xf numFmtId="0" fontId="0" fillId="27" borderId="46" xfId="0" applyFill="1" applyBorder="1"/>
    <xf numFmtId="16" fontId="0" fillId="0" borderId="46" xfId="0" applyNumberFormat="1" applyBorder="1"/>
    <xf numFmtId="0" fontId="0" fillId="28" borderId="1" xfId="0" applyFill="1" applyBorder="1"/>
    <xf numFmtId="0" fontId="0" fillId="28" borderId="13" xfId="0" applyFill="1" applyBorder="1"/>
    <xf numFmtId="0" fontId="0" fillId="28" borderId="11" xfId="0" applyFill="1" applyBorder="1"/>
    <xf numFmtId="0" fontId="0" fillId="29" borderId="1" xfId="0" applyFill="1" applyBorder="1"/>
    <xf numFmtId="0" fontId="1" fillId="25" borderId="1" xfId="0" applyFont="1" applyFill="1" applyBorder="1"/>
    <xf numFmtId="164" fontId="1" fillId="25" borderId="69" xfId="0" applyNumberFormat="1" applyFont="1" applyFill="1" applyBorder="1"/>
    <xf numFmtId="16" fontId="6" fillId="0" borderId="1" xfId="0" applyNumberFormat="1" applyFont="1" applyBorder="1"/>
    <xf numFmtId="0" fontId="0" fillId="0" borderId="33" xfId="0" applyBorder="1"/>
    <xf numFmtId="0" fontId="0" fillId="0" borderId="30" xfId="0" applyBorder="1"/>
    <xf numFmtId="0" fontId="0" fillId="2" borderId="30" xfId="0" applyFill="1" applyBorder="1"/>
    <xf numFmtId="16" fontId="0" fillId="0" borderId="34" xfId="0" applyNumberFormat="1" applyBorder="1"/>
    <xf numFmtId="0" fontId="0" fillId="26" borderId="30" xfId="0" applyFill="1" applyBorder="1"/>
    <xf numFmtId="0" fontId="0" fillId="27" borderId="11" xfId="0" applyFill="1" applyBorder="1"/>
    <xf numFmtId="0" fontId="0" fillId="26" borderId="72" xfId="0" applyFill="1" applyBorder="1"/>
    <xf numFmtId="44" fontId="0" fillId="0" borderId="13" xfId="1" applyFont="1" applyBorder="1"/>
    <xf numFmtId="16" fontId="6" fillId="0" borderId="8" xfId="0" applyNumberFormat="1" applyFont="1" applyBorder="1"/>
    <xf numFmtId="16" fontId="6" fillId="0" borderId="10" xfId="0" applyNumberFormat="1" applyFont="1" applyBorder="1"/>
    <xf numFmtId="0" fontId="0" fillId="30" borderId="1" xfId="0" applyFill="1" applyBorder="1"/>
    <xf numFmtId="164" fontId="0" fillId="0" borderId="46" xfId="0" applyNumberFormat="1" applyBorder="1"/>
    <xf numFmtId="0" fontId="0" fillId="27" borderId="13" xfId="0" applyFill="1" applyBorder="1"/>
    <xf numFmtId="164" fontId="0" fillId="0" borderId="13" xfId="0" applyNumberFormat="1" applyBorder="1"/>
    <xf numFmtId="0" fontId="1" fillId="25" borderId="4" xfId="0" applyFont="1" applyFill="1" applyBorder="1"/>
    <xf numFmtId="16" fontId="6" fillId="0" borderId="41" xfId="0" applyNumberFormat="1" applyFont="1" applyBorder="1"/>
    <xf numFmtId="0" fontId="0" fillId="30" borderId="11" xfId="0" applyFill="1" applyBorder="1"/>
    <xf numFmtId="164" fontId="0" fillId="0" borderId="11" xfId="0" applyNumberFormat="1" applyBorder="1"/>
    <xf numFmtId="0" fontId="9" fillId="0" borderId="11" xfId="0" applyFont="1" applyBorder="1"/>
    <xf numFmtId="0" fontId="9" fillId="0" borderId="1" xfId="0" applyFon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Font="1" applyBorder="1"/>
    <xf numFmtId="0" fontId="0" fillId="0" borderId="1" xfId="0" applyFont="1" applyBorder="1"/>
    <xf numFmtId="0" fontId="0" fillId="0" borderId="46" xfId="0" applyFont="1" applyBorder="1"/>
    <xf numFmtId="0" fontId="0" fillId="0" borderId="13" xfId="0" applyFont="1" applyBorder="1"/>
    <xf numFmtId="0" fontId="0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6" fontId="0" fillId="0" borderId="24" xfId="0" applyNumberFormat="1" applyBorder="1"/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23" borderId="30" xfId="0" applyFill="1" applyBorder="1"/>
    <xf numFmtId="0" fontId="0" fillId="0" borderId="1" xfId="0" applyFill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2" fillId="29" borderId="14" xfId="0" applyFont="1" applyFill="1" applyBorder="1" applyAlignment="1">
      <alignment horizontal="center" vertical="center"/>
    </xf>
    <xf numFmtId="0" fontId="2" fillId="29" borderId="15" xfId="0" applyFont="1" applyFill="1" applyBorder="1" applyAlignment="1">
      <alignment horizontal="center" vertical="center"/>
    </xf>
    <xf numFmtId="0" fontId="2" fillId="29" borderId="16" xfId="0" applyFont="1" applyFill="1" applyBorder="1" applyAlignment="1">
      <alignment horizontal="center" vertical="center"/>
    </xf>
    <xf numFmtId="0" fontId="0" fillId="13" borderId="42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19" borderId="42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2" fontId="0" fillId="2" borderId="43" xfId="0" applyNumberForma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14" borderId="73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14" borderId="42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0" fillId="14" borderId="62" xfId="0" applyFill="1" applyBorder="1" applyAlignment="1">
      <alignment horizontal="center"/>
    </xf>
    <xf numFmtId="0" fontId="0" fillId="14" borderId="48" xfId="0" applyFill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66CC"/>
      <color rgb="FFFFFF4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U35"/>
  <sheetViews>
    <sheetView zoomScale="80" zoomScaleNormal="80" workbookViewId="0">
      <selection activeCell="B37" sqref="B37"/>
    </sheetView>
  </sheetViews>
  <sheetFormatPr baseColWidth="10" defaultColWidth="9.140625" defaultRowHeight="15" x14ac:dyDescent="0.25"/>
  <cols>
    <col min="2" max="2" width="33.85546875" customWidth="1"/>
    <col min="3" max="3" width="13" customWidth="1"/>
    <col min="4" max="4" width="9.140625" customWidth="1"/>
    <col min="5" max="5" width="11" customWidth="1"/>
    <col min="6" max="6" width="8.85546875" customWidth="1"/>
    <col min="7" max="7" width="10.5703125" customWidth="1"/>
    <col min="8" max="8" width="12" customWidth="1"/>
    <col min="9" max="9" width="14.7109375" customWidth="1"/>
    <col min="10" max="10" width="10.5703125" customWidth="1"/>
    <col min="11" max="11" width="7.7109375" customWidth="1"/>
    <col min="12" max="13" width="9.5703125" customWidth="1"/>
    <col min="14" max="14" width="12.140625" customWidth="1"/>
    <col min="15" max="15" width="9.7109375" customWidth="1"/>
    <col min="16" max="16" width="8.85546875" customWidth="1"/>
    <col min="17" max="17" width="11.85546875" customWidth="1"/>
    <col min="18" max="18" width="12.28515625" customWidth="1"/>
    <col min="19" max="19" width="12" customWidth="1"/>
    <col min="20" max="20" width="11.85546875" customWidth="1"/>
    <col min="21" max="21" width="15.28515625" customWidth="1"/>
  </cols>
  <sheetData>
    <row r="1" spans="1:21" ht="15.75" thickBot="1" x14ac:dyDescent="0.3">
      <c r="B1" s="20" t="s">
        <v>212</v>
      </c>
    </row>
    <row r="2" spans="1:21" ht="15.75" thickBot="1" x14ac:dyDescent="0.3">
      <c r="B2" s="301" t="s">
        <v>9</v>
      </c>
      <c r="C2" s="304" t="s">
        <v>10</v>
      </c>
      <c r="D2" s="305"/>
      <c r="E2" s="306" t="s">
        <v>15</v>
      </c>
      <c r="F2" s="307"/>
      <c r="G2" s="307"/>
      <c r="H2" s="307"/>
      <c r="I2" s="308"/>
      <c r="J2" s="306" t="s">
        <v>16</v>
      </c>
      <c r="K2" s="307"/>
      <c r="L2" s="307"/>
      <c r="M2" s="307"/>
      <c r="N2" s="308"/>
      <c r="O2" s="306" t="s">
        <v>17</v>
      </c>
      <c r="P2" s="307"/>
      <c r="Q2" s="307"/>
      <c r="R2" s="307"/>
      <c r="S2" s="308"/>
      <c r="T2" s="45"/>
      <c r="U2" s="45"/>
    </row>
    <row r="3" spans="1:21" ht="15.75" thickBot="1" x14ac:dyDescent="0.3">
      <c r="B3" s="302"/>
      <c r="C3" s="40" t="s">
        <v>14</v>
      </c>
      <c r="D3" s="41" t="s">
        <v>13</v>
      </c>
      <c r="E3" s="309" t="s">
        <v>19</v>
      </c>
      <c r="F3" s="310"/>
      <c r="G3" s="42"/>
      <c r="H3" s="43"/>
      <c r="I3" s="41" t="s">
        <v>11</v>
      </c>
      <c r="J3" s="309" t="s">
        <v>19</v>
      </c>
      <c r="K3" s="310"/>
      <c r="L3" s="42"/>
      <c r="M3" s="43"/>
      <c r="N3" s="41" t="s">
        <v>11</v>
      </c>
      <c r="O3" s="311" t="s">
        <v>19</v>
      </c>
      <c r="P3" s="312"/>
      <c r="Q3" s="44"/>
      <c r="R3" s="44"/>
      <c r="S3" s="44" t="s">
        <v>11</v>
      </c>
      <c r="T3" s="42" t="s">
        <v>12</v>
      </c>
      <c r="U3" s="42" t="s">
        <v>31</v>
      </c>
    </row>
    <row r="4" spans="1:21" ht="15.75" thickBot="1" x14ac:dyDescent="0.3">
      <c r="B4" s="303"/>
      <c r="C4" s="12"/>
      <c r="D4" s="9"/>
      <c r="E4" s="14" t="s">
        <v>14</v>
      </c>
      <c r="F4" s="3" t="s">
        <v>13</v>
      </c>
      <c r="G4" s="2" t="s">
        <v>18</v>
      </c>
      <c r="H4" s="19" t="s">
        <v>22</v>
      </c>
      <c r="I4" s="9"/>
      <c r="J4" s="8" t="s">
        <v>14</v>
      </c>
      <c r="K4" s="2" t="s">
        <v>13</v>
      </c>
      <c r="L4" s="2" t="s">
        <v>18</v>
      </c>
      <c r="M4" s="19" t="s">
        <v>22</v>
      </c>
      <c r="N4" s="9"/>
      <c r="O4" s="6" t="s">
        <v>14</v>
      </c>
      <c r="P4" s="13" t="s">
        <v>13</v>
      </c>
      <c r="Q4" s="13" t="s">
        <v>18</v>
      </c>
      <c r="R4" s="19" t="s">
        <v>22</v>
      </c>
      <c r="S4" s="7"/>
      <c r="T4" s="12"/>
      <c r="U4" s="12"/>
    </row>
    <row r="5" spans="1:21" x14ac:dyDescent="0.25">
      <c r="A5" s="298">
        <v>2021</v>
      </c>
      <c r="B5" s="21" t="s">
        <v>0</v>
      </c>
      <c r="C5" s="39">
        <v>1200</v>
      </c>
      <c r="D5" s="30"/>
      <c r="E5" s="24">
        <v>200</v>
      </c>
      <c r="F5" s="25"/>
      <c r="G5" s="25"/>
      <c r="H5" s="26"/>
      <c r="I5" s="27">
        <v>44235</v>
      </c>
      <c r="J5" s="10">
        <v>1000</v>
      </c>
      <c r="K5" s="1">
        <f>J5*0.21</f>
        <v>210</v>
      </c>
      <c r="L5" s="1"/>
      <c r="M5" s="4"/>
      <c r="N5" s="18">
        <v>44635</v>
      </c>
      <c r="O5" s="32">
        <v>0</v>
      </c>
      <c r="P5" s="33"/>
      <c r="Q5" s="33"/>
      <c r="R5" s="34"/>
      <c r="S5" s="35"/>
      <c r="T5" s="5">
        <f t="shared" ref="T5:T15" si="0">C5-E5-G5-J5-L5-O5-Q5</f>
        <v>0</v>
      </c>
      <c r="U5" s="58"/>
    </row>
    <row r="6" spans="1:21" ht="15.75" thickBot="1" x14ac:dyDescent="0.3">
      <c r="A6" s="299"/>
      <c r="B6" s="22" t="s">
        <v>1</v>
      </c>
      <c r="C6" s="39">
        <v>3145</v>
      </c>
      <c r="D6" s="30"/>
      <c r="E6" s="24">
        <v>524.11</v>
      </c>
      <c r="F6" s="25">
        <f>E6*0.21</f>
        <v>110.06310000000001</v>
      </c>
      <c r="G6" s="25">
        <v>524.11</v>
      </c>
      <c r="H6" s="26"/>
      <c r="I6" s="27">
        <v>44322</v>
      </c>
      <c r="J6" s="10">
        <v>524.11</v>
      </c>
      <c r="K6" s="1">
        <f>J6*0.21</f>
        <v>110.06310000000001</v>
      </c>
      <c r="L6" s="1">
        <v>524.11</v>
      </c>
      <c r="M6" s="4"/>
      <c r="N6" s="18">
        <v>44768</v>
      </c>
      <c r="O6" s="32">
        <v>0</v>
      </c>
      <c r="P6" s="33"/>
      <c r="Q6" s="33">
        <v>1048.56</v>
      </c>
      <c r="R6" s="34"/>
      <c r="S6" s="35"/>
      <c r="T6" s="63">
        <f t="shared" si="0"/>
        <v>0</v>
      </c>
      <c r="U6" s="58"/>
    </row>
    <row r="7" spans="1:21" x14ac:dyDescent="0.25">
      <c r="A7" s="299"/>
      <c r="B7" s="22" t="s">
        <v>2</v>
      </c>
      <c r="C7" s="39">
        <v>1200</v>
      </c>
      <c r="D7" s="30"/>
      <c r="E7" s="24">
        <v>1000</v>
      </c>
      <c r="F7" s="25"/>
      <c r="G7" s="25"/>
      <c r="H7" s="26"/>
      <c r="I7" s="27">
        <v>44238</v>
      </c>
      <c r="J7" s="10">
        <v>200</v>
      </c>
      <c r="K7" s="1"/>
      <c r="L7" s="1"/>
      <c r="M7" s="4"/>
      <c r="N7" s="15">
        <v>44449</v>
      </c>
      <c r="O7" s="32"/>
      <c r="P7" s="33"/>
      <c r="Q7" s="33"/>
      <c r="R7" s="34"/>
      <c r="S7" s="35"/>
      <c r="T7" s="5">
        <f t="shared" si="0"/>
        <v>0</v>
      </c>
      <c r="U7" s="58"/>
    </row>
    <row r="8" spans="1:21" x14ac:dyDescent="0.25">
      <c r="A8" s="299"/>
      <c r="B8" s="22" t="s">
        <v>3</v>
      </c>
      <c r="C8" s="39">
        <v>900</v>
      </c>
      <c r="D8" s="30"/>
      <c r="E8" s="24">
        <v>250</v>
      </c>
      <c r="F8" s="25"/>
      <c r="G8" s="25"/>
      <c r="H8" s="26"/>
      <c r="I8" s="27">
        <v>44252</v>
      </c>
      <c r="J8" s="10">
        <v>250</v>
      </c>
      <c r="K8" s="1"/>
      <c r="L8" s="1"/>
      <c r="M8" s="4"/>
      <c r="N8" s="15">
        <v>44256</v>
      </c>
      <c r="O8" s="32">
        <v>400</v>
      </c>
      <c r="P8" s="33"/>
      <c r="Q8" s="33"/>
      <c r="R8" s="34"/>
      <c r="S8" s="35"/>
      <c r="T8" s="5">
        <f t="shared" si="0"/>
        <v>0</v>
      </c>
      <c r="U8" s="58"/>
    </row>
    <row r="9" spans="1:21" ht="15.75" thickBot="1" x14ac:dyDescent="0.3">
      <c r="A9" s="300"/>
      <c r="B9" s="48" t="s">
        <v>4</v>
      </c>
      <c r="C9" s="46">
        <v>1200</v>
      </c>
      <c r="D9" s="75"/>
      <c r="E9" s="115">
        <v>300</v>
      </c>
      <c r="F9" s="77"/>
      <c r="G9" s="77"/>
      <c r="H9" s="78"/>
      <c r="I9" s="79">
        <v>44389</v>
      </c>
      <c r="J9" s="116">
        <v>600</v>
      </c>
      <c r="K9" s="81"/>
      <c r="L9" s="81"/>
      <c r="M9" s="82"/>
      <c r="N9" s="83">
        <v>44392</v>
      </c>
      <c r="O9" s="121">
        <v>300</v>
      </c>
      <c r="P9" s="85"/>
      <c r="Q9" s="85"/>
      <c r="R9" s="86"/>
      <c r="S9" s="122">
        <v>44733</v>
      </c>
      <c r="T9" s="80">
        <f t="shared" si="0"/>
        <v>0</v>
      </c>
      <c r="U9" s="87"/>
    </row>
    <row r="10" spans="1:21" x14ac:dyDescent="0.25">
      <c r="A10" s="298">
        <v>2022</v>
      </c>
      <c r="B10" s="21" t="s">
        <v>5</v>
      </c>
      <c r="C10" s="103">
        <v>1900</v>
      </c>
      <c r="D10" s="104"/>
      <c r="E10" s="123">
        <v>380</v>
      </c>
      <c r="F10" s="106"/>
      <c r="G10" s="106"/>
      <c r="H10" s="117"/>
      <c r="I10" s="107">
        <v>44733</v>
      </c>
      <c r="J10" s="66">
        <v>950</v>
      </c>
      <c r="K10" s="67">
        <f>J10*0.21</f>
        <v>199.5</v>
      </c>
      <c r="L10" s="67"/>
      <c r="M10" s="70">
        <v>72.599999999999994</v>
      </c>
      <c r="N10" s="108">
        <v>44757</v>
      </c>
      <c r="O10" s="118">
        <v>570</v>
      </c>
      <c r="P10" s="110"/>
      <c r="Q10" s="110"/>
      <c r="R10" s="119"/>
      <c r="S10" s="111"/>
      <c r="T10" s="69">
        <f t="shared" si="0"/>
        <v>0</v>
      </c>
      <c r="U10" s="68"/>
    </row>
    <row r="11" spans="1:21" x14ac:dyDescent="0.25">
      <c r="A11" s="299"/>
      <c r="B11" s="22" t="s">
        <v>6</v>
      </c>
      <c r="C11" s="39">
        <v>1200</v>
      </c>
      <c r="D11" s="30"/>
      <c r="E11" s="24">
        <v>300</v>
      </c>
      <c r="F11" s="25"/>
      <c r="G11" s="25"/>
      <c r="H11" s="26"/>
      <c r="I11" s="27">
        <v>44757</v>
      </c>
      <c r="J11" s="10">
        <v>600</v>
      </c>
      <c r="K11" s="1"/>
      <c r="L11" s="1"/>
      <c r="M11" s="4"/>
      <c r="N11" s="15">
        <v>44449</v>
      </c>
      <c r="O11" s="32">
        <v>300</v>
      </c>
      <c r="P11" s="33"/>
      <c r="Q11" s="33"/>
      <c r="R11" s="34"/>
      <c r="S11" s="36">
        <v>44733</v>
      </c>
      <c r="T11" s="5">
        <f t="shared" si="0"/>
        <v>0</v>
      </c>
      <c r="U11" s="58"/>
    </row>
    <row r="12" spans="1:21" x14ac:dyDescent="0.25">
      <c r="A12" s="299"/>
      <c r="B12" s="22" t="s">
        <v>23</v>
      </c>
      <c r="C12" s="39">
        <v>1200</v>
      </c>
      <c r="D12" s="30"/>
      <c r="E12" s="24">
        <v>0</v>
      </c>
      <c r="F12" s="25"/>
      <c r="G12" s="25"/>
      <c r="H12" s="26"/>
      <c r="I12" s="27" t="s">
        <v>20</v>
      </c>
      <c r="J12" s="10">
        <v>900</v>
      </c>
      <c r="K12" s="1"/>
      <c r="L12" s="1"/>
      <c r="M12" s="4"/>
      <c r="N12" s="15">
        <v>44733</v>
      </c>
      <c r="O12" s="32">
        <v>0</v>
      </c>
      <c r="P12" s="33"/>
      <c r="Q12" s="33">
        <v>300</v>
      </c>
      <c r="R12" s="34"/>
      <c r="S12" s="36">
        <v>45676</v>
      </c>
      <c r="T12" s="5">
        <f t="shared" si="0"/>
        <v>0</v>
      </c>
      <c r="U12" s="58"/>
    </row>
    <row r="13" spans="1:21" x14ac:dyDescent="0.25">
      <c r="A13" s="299"/>
      <c r="B13" s="242" t="s">
        <v>7</v>
      </c>
      <c r="C13" s="39">
        <v>1500</v>
      </c>
      <c r="D13" s="30"/>
      <c r="E13" s="49">
        <v>300</v>
      </c>
      <c r="F13" s="25"/>
      <c r="G13" s="25"/>
      <c r="H13" s="26"/>
      <c r="I13" s="27">
        <v>44814</v>
      </c>
      <c r="J13" s="10">
        <f>600+300</f>
        <v>900</v>
      </c>
      <c r="K13" s="1"/>
      <c r="L13" s="1"/>
      <c r="M13" s="4"/>
      <c r="N13" s="15">
        <v>44516</v>
      </c>
      <c r="O13" s="32"/>
      <c r="P13" s="33"/>
      <c r="Q13" s="33"/>
      <c r="R13" s="34"/>
      <c r="S13" s="35"/>
      <c r="T13" s="5">
        <f t="shared" si="0"/>
        <v>300</v>
      </c>
      <c r="U13" s="58"/>
    </row>
    <row r="14" spans="1:21" x14ac:dyDescent="0.25">
      <c r="A14" s="299"/>
      <c r="B14" s="22" t="s">
        <v>8</v>
      </c>
      <c r="C14" s="39">
        <v>1500</v>
      </c>
      <c r="D14" s="30"/>
      <c r="E14" s="49">
        <v>300</v>
      </c>
      <c r="F14" s="25"/>
      <c r="G14" s="25"/>
      <c r="H14" s="26"/>
      <c r="I14" s="27">
        <v>44814</v>
      </c>
      <c r="J14" s="10">
        <f>600+300</f>
        <v>900</v>
      </c>
      <c r="K14" s="1"/>
      <c r="L14" s="1"/>
      <c r="M14" s="4"/>
      <c r="N14" s="15">
        <v>44516</v>
      </c>
      <c r="O14" s="32"/>
      <c r="P14" s="33"/>
      <c r="Q14" s="33">
        <v>300</v>
      </c>
      <c r="R14" s="34"/>
      <c r="S14" s="35"/>
      <c r="T14" s="5">
        <f t="shared" si="0"/>
        <v>0</v>
      </c>
      <c r="U14" s="58"/>
    </row>
    <row r="15" spans="1:21" x14ac:dyDescent="0.25">
      <c r="A15" s="299"/>
      <c r="B15" s="22" t="s">
        <v>21</v>
      </c>
      <c r="C15" s="39">
        <v>2000</v>
      </c>
      <c r="D15" s="30"/>
      <c r="E15" s="49">
        <v>1000</v>
      </c>
      <c r="F15" s="25">
        <f>E15*0.21</f>
        <v>210</v>
      </c>
      <c r="G15" s="25">
        <v>1000</v>
      </c>
      <c r="H15" s="26"/>
      <c r="I15" s="27">
        <v>44604</v>
      </c>
      <c r="J15" s="10"/>
      <c r="K15" s="1"/>
      <c r="L15" s="1"/>
      <c r="M15" s="4"/>
      <c r="N15" s="15">
        <v>44517</v>
      </c>
      <c r="O15" s="32"/>
      <c r="P15" s="33"/>
      <c r="Q15" s="33"/>
      <c r="R15" s="34"/>
      <c r="S15" s="35"/>
      <c r="T15" s="5">
        <f t="shared" si="0"/>
        <v>0</v>
      </c>
      <c r="U15" s="58"/>
    </row>
    <row r="16" spans="1:21" x14ac:dyDescent="0.25">
      <c r="A16" s="299"/>
      <c r="B16" s="22" t="s">
        <v>28</v>
      </c>
      <c r="C16" s="46">
        <v>1200</v>
      </c>
      <c r="D16" s="30"/>
      <c r="E16" s="49">
        <v>300</v>
      </c>
      <c r="F16" s="25" t="s">
        <v>20</v>
      </c>
      <c r="G16" s="25"/>
      <c r="H16" s="26"/>
      <c r="I16" s="27">
        <v>44564</v>
      </c>
      <c r="J16" s="10">
        <v>600</v>
      </c>
      <c r="K16" s="1"/>
      <c r="L16" s="1"/>
      <c r="M16" s="4"/>
      <c r="N16" s="15">
        <v>0</v>
      </c>
      <c r="O16" s="32">
        <v>0</v>
      </c>
      <c r="P16" s="33"/>
      <c r="Q16" s="33">
        <v>300</v>
      </c>
      <c r="R16" s="34"/>
      <c r="S16" s="36">
        <v>45304</v>
      </c>
      <c r="T16" s="5">
        <f>C16-E16-G16-J16-L16-O16-Q16</f>
        <v>0</v>
      </c>
      <c r="U16" s="58"/>
    </row>
    <row r="17" spans="1:21" x14ac:dyDescent="0.25">
      <c r="A17" s="299"/>
      <c r="B17" s="22" t="s">
        <v>24</v>
      </c>
      <c r="C17" s="61">
        <v>2000</v>
      </c>
      <c r="D17" s="53">
        <v>210</v>
      </c>
      <c r="E17" s="55">
        <v>0</v>
      </c>
      <c r="F17" s="26" t="s">
        <v>20</v>
      </c>
      <c r="G17" s="25">
        <v>1000</v>
      </c>
      <c r="H17" s="56">
        <v>131.59</v>
      </c>
      <c r="I17" s="54">
        <v>44635</v>
      </c>
      <c r="J17" s="57">
        <v>1000</v>
      </c>
      <c r="K17" s="1">
        <v>210</v>
      </c>
      <c r="L17" s="1">
        <v>0</v>
      </c>
      <c r="M17" s="1"/>
      <c r="N17" s="59">
        <v>44835</v>
      </c>
      <c r="O17" s="32"/>
      <c r="P17" s="33"/>
      <c r="Q17" s="33"/>
      <c r="R17" s="33"/>
      <c r="S17" s="60"/>
      <c r="T17" s="5">
        <f>C17-E17-G17-J17-L17-O17-Q17</f>
        <v>0</v>
      </c>
      <c r="U17" s="58"/>
    </row>
    <row r="18" spans="1:21" ht="15.75" thickBot="1" x14ac:dyDescent="0.3">
      <c r="A18" s="300"/>
      <c r="B18" s="23" t="s">
        <v>25</v>
      </c>
      <c r="C18" s="124">
        <v>900</v>
      </c>
      <c r="D18" s="125">
        <v>189</v>
      </c>
      <c r="E18" s="126">
        <v>900</v>
      </c>
      <c r="F18" s="28" t="s">
        <v>20</v>
      </c>
      <c r="G18" s="28">
        <v>0</v>
      </c>
      <c r="H18" s="127">
        <v>0</v>
      </c>
      <c r="I18" s="128">
        <v>44783</v>
      </c>
      <c r="J18" s="129"/>
      <c r="K18" s="16"/>
      <c r="L18" s="16"/>
      <c r="M18" s="16"/>
      <c r="N18" s="130"/>
      <c r="O18" s="131"/>
      <c r="P18" s="37"/>
      <c r="Q18" s="132"/>
      <c r="R18" s="37"/>
      <c r="S18" s="38"/>
      <c r="T18" s="11">
        <f>C18-E18-G18-J18-L18-O18-Q18</f>
        <v>0</v>
      </c>
      <c r="U18" s="65"/>
    </row>
    <row r="19" spans="1:21" x14ac:dyDescent="0.25">
      <c r="A19" s="298">
        <v>2023</v>
      </c>
      <c r="B19" s="21" t="s">
        <v>26</v>
      </c>
      <c r="C19" s="103">
        <v>1200</v>
      </c>
      <c r="D19" s="104"/>
      <c r="E19" s="105">
        <v>300</v>
      </c>
      <c r="F19" s="106">
        <f>E19*0.21</f>
        <v>63</v>
      </c>
      <c r="G19" s="106"/>
      <c r="H19" s="117"/>
      <c r="I19" s="107">
        <v>45071</v>
      </c>
      <c r="J19" s="66">
        <v>600</v>
      </c>
      <c r="K19" s="67"/>
      <c r="L19" s="67"/>
      <c r="M19" s="70"/>
      <c r="N19" s="108">
        <v>45219</v>
      </c>
      <c r="O19" s="118">
        <v>300</v>
      </c>
      <c r="P19" s="110"/>
      <c r="Q19" s="110"/>
      <c r="R19" s="119"/>
      <c r="S19" s="111" t="s">
        <v>244</v>
      </c>
      <c r="T19" s="69">
        <f t="shared" ref="T19" si="1">C19-E19-G19-J19-L19-O19-Q19</f>
        <v>0</v>
      </c>
      <c r="U19" s="68"/>
    </row>
    <row r="20" spans="1:21" x14ac:dyDescent="0.25">
      <c r="A20" s="299"/>
      <c r="B20" s="22" t="s">
        <v>27</v>
      </c>
      <c r="C20" s="39">
        <v>400</v>
      </c>
      <c r="D20" s="30"/>
      <c r="E20" s="49">
        <v>0</v>
      </c>
      <c r="F20" s="25">
        <f>E20*0.21</f>
        <v>0</v>
      </c>
      <c r="G20" s="25">
        <v>400</v>
      </c>
      <c r="H20" s="26"/>
      <c r="I20" s="27">
        <v>45083</v>
      </c>
      <c r="J20" s="10"/>
      <c r="K20" s="1"/>
      <c r="L20" s="1"/>
      <c r="M20" s="4"/>
      <c r="N20" s="15"/>
      <c r="O20" s="32"/>
      <c r="P20" s="33"/>
      <c r="Q20" s="33"/>
      <c r="R20" s="34"/>
      <c r="S20" s="35"/>
      <c r="T20" s="5">
        <f t="shared" ref="T20:T22" si="2">C20-E20-G20-J20-L20-O20-Q20</f>
        <v>0</v>
      </c>
      <c r="U20" s="58"/>
    </row>
    <row r="21" spans="1:21" ht="15.75" thickBot="1" x14ac:dyDescent="0.3">
      <c r="A21" s="300"/>
      <c r="B21" s="243" t="s">
        <v>29</v>
      </c>
      <c r="C21" s="112">
        <v>1500</v>
      </c>
      <c r="D21" s="31"/>
      <c r="E21" s="51">
        <v>750</v>
      </c>
      <c r="F21" s="28">
        <f>E21*0.21</f>
        <v>157.5</v>
      </c>
      <c r="G21" s="28"/>
      <c r="H21" s="28">
        <v>72</v>
      </c>
      <c r="I21" s="27" t="s">
        <v>33</v>
      </c>
      <c r="J21" s="16"/>
      <c r="K21" s="16"/>
      <c r="L21" s="16"/>
      <c r="M21" s="16"/>
      <c r="N21" s="17"/>
      <c r="O21" s="64"/>
      <c r="P21" s="37"/>
      <c r="Q21" s="37"/>
      <c r="R21" s="37"/>
      <c r="S21" s="120"/>
      <c r="T21" s="63">
        <f t="shared" si="2"/>
        <v>750</v>
      </c>
      <c r="U21" s="65"/>
    </row>
    <row r="22" spans="1:21" x14ac:dyDescent="0.25">
      <c r="A22" s="298">
        <v>2024</v>
      </c>
      <c r="B22" s="21" t="s">
        <v>35</v>
      </c>
      <c r="C22" s="103">
        <v>600</v>
      </c>
      <c r="D22" s="104"/>
      <c r="E22" s="105">
        <v>600</v>
      </c>
      <c r="F22" s="106">
        <f>E22*0.21</f>
        <v>126</v>
      </c>
      <c r="G22" s="106"/>
      <c r="H22" s="106"/>
      <c r="I22" s="107">
        <v>45375</v>
      </c>
      <c r="J22" s="69"/>
      <c r="K22" s="67"/>
      <c r="L22" s="67"/>
      <c r="M22" s="67"/>
      <c r="N22" s="108"/>
      <c r="O22" s="109"/>
      <c r="P22" s="110"/>
      <c r="Q22" s="110"/>
      <c r="R22" s="110"/>
      <c r="S22" s="111"/>
      <c r="T22" s="66">
        <f t="shared" si="2"/>
        <v>0</v>
      </c>
      <c r="U22" s="68"/>
    </row>
    <row r="23" spans="1:21" x14ac:dyDescent="0.25">
      <c r="A23" s="299"/>
      <c r="B23" s="22" t="s">
        <v>30</v>
      </c>
      <c r="C23" s="39">
        <v>1500</v>
      </c>
      <c r="D23" s="30"/>
      <c r="E23" s="49"/>
      <c r="F23" s="25"/>
      <c r="G23" s="25">
        <v>1500</v>
      </c>
      <c r="H23" s="25">
        <v>163.25</v>
      </c>
      <c r="I23" s="27">
        <v>45611</v>
      </c>
      <c r="J23" s="5"/>
      <c r="K23" s="1"/>
      <c r="L23" s="1"/>
      <c r="M23" s="1"/>
      <c r="N23" s="15"/>
      <c r="O23" s="50"/>
      <c r="P23" s="33"/>
      <c r="Q23" s="33"/>
      <c r="R23" s="33"/>
      <c r="S23" s="35"/>
      <c r="T23" s="5">
        <f t="shared" ref="T23:T24" si="3">C23-E23-G23-J23-L23-O23-Q23</f>
        <v>0</v>
      </c>
      <c r="U23" s="58"/>
    </row>
    <row r="24" spans="1:21" x14ac:dyDescent="0.25">
      <c r="A24" s="299"/>
      <c r="B24" s="242" t="s">
        <v>32</v>
      </c>
      <c r="C24" s="39">
        <v>1700</v>
      </c>
      <c r="D24" s="30"/>
      <c r="E24" s="49"/>
      <c r="F24" s="25">
        <f>E24*0.21</f>
        <v>0</v>
      </c>
      <c r="G24" s="25">
        <v>1200</v>
      </c>
      <c r="H24" s="26"/>
      <c r="I24" s="27">
        <v>45619</v>
      </c>
      <c r="J24" s="5"/>
      <c r="K24" s="1"/>
      <c r="L24" s="1">
        <v>200</v>
      </c>
      <c r="M24" s="4"/>
      <c r="N24" s="15">
        <v>45653</v>
      </c>
      <c r="O24" s="50"/>
      <c r="P24" s="33"/>
      <c r="Q24" s="33"/>
      <c r="R24" s="34"/>
      <c r="S24" s="35"/>
      <c r="T24" s="5">
        <f t="shared" si="3"/>
        <v>300</v>
      </c>
      <c r="U24" s="58" t="s">
        <v>34</v>
      </c>
    </row>
    <row r="25" spans="1:21" ht="15.75" thickBot="1" x14ac:dyDescent="0.3">
      <c r="A25" s="300"/>
      <c r="B25" s="23" t="s">
        <v>36</v>
      </c>
      <c r="C25" s="112">
        <v>500</v>
      </c>
      <c r="D25" s="31"/>
      <c r="E25" s="51"/>
      <c r="F25" s="28">
        <f>E25*0.21</f>
        <v>0</v>
      </c>
      <c r="G25" s="28">
        <v>500</v>
      </c>
      <c r="H25" s="113"/>
      <c r="I25" s="29">
        <v>45676</v>
      </c>
      <c r="J25" s="63"/>
      <c r="K25" s="16"/>
      <c r="L25" s="16"/>
      <c r="M25" s="71"/>
      <c r="N25" s="17"/>
      <c r="O25" s="64"/>
      <c r="P25" s="37"/>
      <c r="Q25" s="37"/>
      <c r="R25" s="38"/>
      <c r="S25" s="114"/>
      <c r="T25" s="63">
        <f t="shared" ref="T25:T27" si="4">C25-E25-G25-J25-L25-O25-Q25</f>
        <v>0</v>
      </c>
      <c r="U25" s="65"/>
    </row>
    <row r="26" spans="1:21" x14ac:dyDescent="0.25">
      <c r="A26" s="298">
        <v>2025</v>
      </c>
      <c r="B26" s="88" t="s">
        <v>68</v>
      </c>
      <c r="C26" s="89">
        <v>500</v>
      </c>
      <c r="D26" s="90"/>
      <c r="E26" s="91"/>
      <c r="F26" s="92"/>
      <c r="G26" s="92">
        <v>500</v>
      </c>
      <c r="H26" s="93"/>
      <c r="I26" s="94">
        <v>45689</v>
      </c>
      <c r="J26" s="95"/>
      <c r="K26" s="96"/>
      <c r="L26" s="96"/>
      <c r="M26" s="97"/>
      <c r="N26" s="98"/>
      <c r="O26" s="99"/>
      <c r="P26" s="100"/>
      <c r="Q26" s="100"/>
      <c r="R26" s="101"/>
      <c r="S26" s="133"/>
      <c r="T26" s="95">
        <f t="shared" si="4"/>
        <v>0</v>
      </c>
      <c r="U26" s="102"/>
    </row>
    <row r="27" spans="1:21" x14ac:dyDescent="0.25">
      <c r="A27" s="299"/>
      <c r="B27" s="223" t="s">
        <v>69</v>
      </c>
      <c r="C27" s="46">
        <f>2000+240</f>
        <v>2240</v>
      </c>
      <c r="D27" s="75"/>
      <c r="E27" s="76"/>
      <c r="F27" s="77"/>
      <c r="G27" s="77">
        <v>400</v>
      </c>
      <c r="H27" s="78"/>
      <c r="I27" s="79">
        <v>45723</v>
      </c>
      <c r="J27" s="80"/>
      <c r="K27" s="81"/>
      <c r="L27" s="81">
        <v>1440</v>
      </c>
      <c r="M27" s="82"/>
      <c r="N27" s="83">
        <v>45732</v>
      </c>
      <c r="O27" s="84"/>
      <c r="P27" s="85"/>
      <c r="Q27" s="85"/>
      <c r="R27" s="86"/>
      <c r="S27" s="134"/>
      <c r="T27" s="80">
        <f t="shared" si="4"/>
        <v>400</v>
      </c>
      <c r="U27" s="87"/>
    </row>
    <row r="28" spans="1:21" x14ac:dyDescent="0.25">
      <c r="A28" s="299"/>
      <c r="B28" s="223" t="s">
        <v>203</v>
      </c>
      <c r="C28" s="46">
        <v>2240</v>
      </c>
      <c r="D28" s="75"/>
      <c r="E28" s="76"/>
      <c r="F28" s="77"/>
      <c r="G28" s="77">
        <v>400</v>
      </c>
      <c r="H28" s="78"/>
      <c r="I28" s="79">
        <v>45968</v>
      </c>
      <c r="J28" s="80"/>
      <c r="K28" s="81"/>
      <c r="L28" s="81">
        <v>1000</v>
      </c>
      <c r="M28" s="82"/>
      <c r="N28" s="83">
        <v>46006</v>
      </c>
      <c r="O28" s="84"/>
      <c r="P28" s="85"/>
      <c r="Q28" s="85"/>
      <c r="R28" s="86"/>
      <c r="S28" s="134"/>
      <c r="T28" s="80">
        <f t="shared" ref="T28" si="5">C28-E28-G28-J28-L28-O28-Q28</f>
        <v>840</v>
      </c>
      <c r="U28" s="87"/>
    </row>
    <row r="29" spans="1:21" ht="15.75" thickBot="1" x14ac:dyDescent="0.3">
      <c r="A29" s="295"/>
      <c r="B29" s="48"/>
      <c r="C29" s="46"/>
      <c r="D29" s="75"/>
      <c r="E29" s="76"/>
      <c r="F29" s="77"/>
      <c r="G29" s="77"/>
      <c r="H29" s="78"/>
      <c r="I29" s="79"/>
      <c r="J29" s="80"/>
      <c r="K29" s="81"/>
      <c r="L29" s="81"/>
      <c r="M29" s="82"/>
      <c r="N29" s="83"/>
      <c r="O29" s="84"/>
      <c r="P29" s="85"/>
      <c r="Q29" s="85"/>
      <c r="R29" s="86"/>
      <c r="S29" s="134"/>
      <c r="T29" s="80"/>
      <c r="U29" s="87"/>
    </row>
    <row r="30" spans="1:21" x14ac:dyDescent="0.25">
      <c r="A30" s="293"/>
      <c r="B30" s="48"/>
      <c r="C30" s="46"/>
      <c r="D30" s="75"/>
      <c r="E30" s="76"/>
      <c r="F30" s="77"/>
      <c r="G30" s="77"/>
      <c r="H30" s="78"/>
      <c r="I30" s="79"/>
      <c r="J30" s="80"/>
      <c r="K30" s="81"/>
      <c r="L30" s="81"/>
      <c r="M30" s="82"/>
      <c r="N30" s="83"/>
      <c r="O30" s="84"/>
      <c r="P30" s="85"/>
      <c r="Q30" s="85"/>
      <c r="R30" s="86"/>
      <c r="S30" s="134"/>
      <c r="T30" s="80"/>
      <c r="U30" s="87"/>
    </row>
    <row r="31" spans="1:21" x14ac:dyDescent="0.25">
      <c r="A31" s="294"/>
      <c r="B31" s="48"/>
      <c r="C31" s="46"/>
      <c r="D31" s="75"/>
      <c r="E31" s="76"/>
      <c r="F31" s="77"/>
      <c r="G31" s="77"/>
      <c r="H31" s="78"/>
      <c r="I31" s="79"/>
      <c r="J31" s="80"/>
      <c r="K31" s="81"/>
      <c r="L31" s="81"/>
      <c r="M31" s="82"/>
      <c r="N31" s="83"/>
      <c r="O31" s="84"/>
      <c r="P31" s="85"/>
      <c r="Q31" s="85"/>
      <c r="R31" s="86"/>
      <c r="S31" s="134"/>
      <c r="T31" s="80"/>
      <c r="U31" s="87"/>
    </row>
    <row r="32" spans="1:21" x14ac:dyDescent="0.25">
      <c r="A32" s="294"/>
      <c r="B32" s="48"/>
      <c r="C32" s="46"/>
      <c r="D32" s="75"/>
      <c r="E32" s="76"/>
      <c r="F32" s="77"/>
      <c r="G32" s="77"/>
      <c r="H32" s="78"/>
      <c r="I32" s="79"/>
      <c r="J32" s="80"/>
      <c r="K32" s="81"/>
      <c r="L32" s="81"/>
      <c r="M32" s="82"/>
      <c r="N32" s="83"/>
      <c r="O32" s="84"/>
      <c r="P32" s="85"/>
      <c r="Q32" s="85"/>
      <c r="R32" s="86"/>
      <c r="S32" s="72"/>
      <c r="T32" s="80"/>
      <c r="U32" s="87"/>
    </row>
    <row r="33" spans="1:21" ht="15.75" thickBot="1" x14ac:dyDescent="0.3">
      <c r="A33" s="295"/>
      <c r="B33" s="23"/>
      <c r="C33" s="46"/>
      <c r="D33" s="31"/>
      <c r="E33" s="51"/>
      <c r="F33" s="28"/>
      <c r="G33" s="28"/>
      <c r="H33" s="28"/>
      <c r="I33" s="29"/>
      <c r="J33" s="63"/>
      <c r="K33" s="16"/>
      <c r="L33" s="16"/>
      <c r="M33" s="16"/>
      <c r="N33" s="17"/>
      <c r="O33" s="64"/>
      <c r="P33" s="37"/>
      <c r="Q33" s="37"/>
      <c r="R33" s="37"/>
      <c r="S33" s="38"/>
      <c r="T33" s="11"/>
      <c r="U33" s="65"/>
    </row>
    <row r="34" spans="1:21" ht="15.75" thickBot="1" x14ac:dyDescent="0.3">
      <c r="C34" s="47">
        <f>SUM(C5:C33)</f>
        <v>33425</v>
      </c>
      <c r="T34" s="62">
        <f>SUM(T5:T33)</f>
        <v>2590</v>
      </c>
    </row>
    <row r="35" spans="1:21" ht="15.75" thickBot="1" x14ac:dyDescent="0.3">
      <c r="E35" s="52"/>
    </row>
  </sheetData>
  <mergeCells count="13">
    <mergeCell ref="B2:B4"/>
    <mergeCell ref="C2:D2"/>
    <mergeCell ref="E2:I2"/>
    <mergeCell ref="J2:N2"/>
    <mergeCell ref="O2:S2"/>
    <mergeCell ref="E3:F3"/>
    <mergeCell ref="J3:K3"/>
    <mergeCell ref="O3:P3"/>
    <mergeCell ref="A22:A25"/>
    <mergeCell ref="A5:A9"/>
    <mergeCell ref="A10:A18"/>
    <mergeCell ref="A19:A21"/>
    <mergeCell ref="A26:A2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1"/>
  <sheetViews>
    <sheetView workbookViewId="0">
      <selection activeCell="E18" sqref="E18"/>
    </sheetView>
  </sheetViews>
  <sheetFormatPr baseColWidth="10" defaultRowHeight="15" x14ac:dyDescent="0.25"/>
  <cols>
    <col min="2" max="2" width="17.7109375" customWidth="1"/>
    <col min="3" max="3" width="21.140625" customWidth="1"/>
  </cols>
  <sheetData>
    <row r="1" spans="1:22" ht="15.75" thickBot="1" x14ac:dyDescent="0.3">
      <c r="C1" s="20" t="s">
        <v>252</v>
      </c>
    </row>
    <row r="2" spans="1:22" ht="15.75" thickBot="1" x14ac:dyDescent="0.3">
      <c r="B2" s="313" t="s">
        <v>301</v>
      </c>
      <c r="C2" s="301" t="s">
        <v>300</v>
      </c>
      <c r="D2" s="304" t="s">
        <v>10</v>
      </c>
      <c r="E2" s="305"/>
      <c r="F2" s="306" t="s">
        <v>15</v>
      </c>
      <c r="G2" s="307"/>
      <c r="H2" s="307"/>
      <c r="I2" s="307"/>
      <c r="J2" s="308"/>
      <c r="K2" s="306" t="s">
        <v>16</v>
      </c>
      <c r="L2" s="307"/>
      <c r="M2" s="307"/>
      <c r="N2" s="307"/>
      <c r="O2" s="308"/>
      <c r="P2" s="306" t="s">
        <v>17</v>
      </c>
      <c r="Q2" s="307"/>
      <c r="R2" s="307"/>
      <c r="S2" s="307"/>
      <c r="T2" s="308"/>
      <c r="U2" s="45"/>
      <c r="V2" s="45"/>
    </row>
    <row r="3" spans="1:22" ht="15.75" thickBot="1" x14ac:dyDescent="0.3">
      <c r="B3" s="314"/>
      <c r="C3" s="302"/>
      <c r="D3" s="40" t="s">
        <v>14</v>
      </c>
      <c r="E3" s="41" t="s">
        <v>13</v>
      </c>
      <c r="F3" s="309" t="s">
        <v>19</v>
      </c>
      <c r="G3" s="310"/>
      <c r="H3" s="42"/>
      <c r="I3" s="43"/>
      <c r="J3" s="41" t="s">
        <v>11</v>
      </c>
      <c r="K3" s="309" t="s">
        <v>19</v>
      </c>
      <c r="L3" s="310"/>
      <c r="M3" s="42"/>
      <c r="N3" s="43"/>
      <c r="O3" s="41" t="s">
        <v>11</v>
      </c>
      <c r="P3" s="311" t="s">
        <v>19</v>
      </c>
      <c r="Q3" s="312"/>
      <c r="R3" s="44"/>
      <c r="S3" s="44"/>
      <c r="T3" s="44" t="s">
        <v>11</v>
      </c>
      <c r="U3" s="42" t="s">
        <v>12</v>
      </c>
      <c r="V3" s="42" t="s">
        <v>31</v>
      </c>
    </row>
    <row r="4" spans="1:22" ht="15.75" thickBot="1" x14ac:dyDescent="0.3">
      <c r="B4" s="315"/>
      <c r="C4" s="303"/>
      <c r="D4" s="12"/>
      <c r="E4" s="9"/>
      <c r="F4" s="14" t="s">
        <v>14</v>
      </c>
      <c r="G4" s="3" t="s">
        <v>13</v>
      </c>
      <c r="H4" s="2" t="s">
        <v>18</v>
      </c>
      <c r="I4" s="19" t="s">
        <v>22</v>
      </c>
      <c r="J4" s="9"/>
      <c r="K4" s="8" t="s">
        <v>14</v>
      </c>
      <c r="L4" s="2" t="s">
        <v>13</v>
      </c>
      <c r="M4" s="2" t="s">
        <v>18</v>
      </c>
      <c r="N4" s="19" t="s">
        <v>22</v>
      </c>
      <c r="O4" s="9"/>
      <c r="P4" s="6" t="s">
        <v>14</v>
      </c>
      <c r="Q4" s="13" t="s">
        <v>13</v>
      </c>
      <c r="R4" s="13" t="s">
        <v>18</v>
      </c>
      <c r="S4" s="19" t="s">
        <v>22</v>
      </c>
      <c r="T4" s="7"/>
      <c r="U4" s="12"/>
      <c r="V4" s="12"/>
    </row>
    <row r="5" spans="1:22" x14ac:dyDescent="0.25">
      <c r="A5" s="298">
        <v>2025</v>
      </c>
      <c r="B5" s="279" t="s">
        <v>302</v>
      </c>
      <c r="C5" s="48" t="s">
        <v>69</v>
      </c>
      <c r="D5" s="46">
        <v>2760</v>
      </c>
      <c r="E5" s="75"/>
      <c r="F5" s="76"/>
      <c r="G5" s="77"/>
      <c r="H5" s="77">
        <v>600</v>
      </c>
      <c r="I5" s="78"/>
      <c r="J5" s="79">
        <v>45708</v>
      </c>
      <c r="K5" s="80"/>
      <c r="L5" s="81"/>
      <c r="M5" s="81">
        <v>1560</v>
      </c>
      <c r="N5" s="82"/>
      <c r="O5" s="83">
        <v>45733</v>
      </c>
      <c r="P5" s="84"/>
      <c r="Q5" s="85"/>
      <c r="R5" s="85"/>
      <c r="S5" s="86"/>
      <c r="T5" s="249"/>
      <c r="U5" s="1">
        <f t="shared" ref="U5" si="0">D5-F5-H5-K5-M5-P5-R5</f>
        <v>600</v>
      </c>
      <c r="V5" s="87"/>
    </row>
    <row r="6" spans="1:22" x14ac:dyDescent="0.25">
      <c r="A6" s="299"/>
      <c r="B6" s="279" t="s">
        <v>302</v>
      </c>
      <c r="C6" s="48" t="s">
        <v>243</v>
      </c>
      <c r="D6" s="46">
        <v>2760</v>
      </c>
      <c r="E6" s="75"/>
      <c r="F6" s="76"/>
      <c r="G6" s="77"/>
      <c r="H6" s="77">
        <v>600</v>
      </c>
      <c r="I6" s="78"/>
      <c r="J6" s="79">
        <v>45971</v>
      </c>
      <c r="K6" s="80"/>
      <c r="L6" s="81"/>
      <c r="M6" s="81"/>
      <c r="N6" s="82"/>
      <c r="O6" s="83"/>
      <c r="P6" s="84"/>
      <c r="Q6" s="85"/>
      <c r="R6" s="85"/>
      <c r="S6" s="86"/>
      <c r="T6" s="134"/>
      <c r="U6" s="95">
        <f t="shared" ref="U6:U10" si="1">D6-F6-H6-K6-M6-P6-R6</f>
        <v>2160</v>
      </c>
      <c r="V6" s="87"/>
    </row>
    <row r="7" spans="1:22" x14ac:dyDescent="0.25">
      <c r="A7" s="299"/>
      <c r="B7" s="279" t="s">
        <v>303</v>
      </c>
      <c r="C7" s="48" t="s">
        <v>304</v>
      </c>
      <c r="D7" s="46">
        <v>100</v>
      </c>
      <c r="E7" s="75"/>
      <c r="F7" s="76"/>
      <c r="G7" s="77"/>
      <c r="H7" s="77">
        <v>200</v>
      </c>
      <c r="I7" s="78"/>
      <c r="J7" s="79"/>
      <c r="K7" s="80"/>
      <c r="L7" s="81"/>
      <c r="M7" s="81"/>
      <c r="N7" s="82"/>
      <c r="O7" s="83"/>
      <c r="P7" s="84"/>
      <c r="Q7" s="85"/>
      <c r="R7" s="85"/>
      <c r="S7" s="86"/>
      <c r="T7" s="134"/>
      <c r="U7" s="95">
        <v>0</v>
      </c>
      <c r="V7" s="87"/>
    </row>
    <row r="8" spans="1:22" x14ac:dyDescent="0.25">
      <c r="A8" s="299"/>
      <c r="B8" s="279" t="s">
        <v>305</v>
      </c>
      <c r="C8" s="48" t="s">
        <v>272</v>
      </c>
      <c r="D8" s="46">
        <v>200</v>
      </c>
      <c r="E8" s="75"/>
      <c r="F8" s="76"/>
      <c r="G8" s="77"/>
      <c r="H8" s="77"/>
      <c r="I8" s="78"/>
      <c r="J8" s="79"/>
      <c r="K8" s="80"/>
      <c r="L8" s="81"/>
      <c r="M8" s="81"/>
      <c r="N8" s="82"/>
      <c r="O8" s="83"/>
      <c r="P8" s="84"/>
      <c r="Q8" s="85"/>
      <c r="R8" s="85"/>
      <c r="S8" s="86"/>
      <c r="T8" s="134"/>
      <c r="U8" s="95">
        <f t="shared" si="1"/>
        <v>200</v>
      </c>
      <c r="V8" s="87"/>
    </row>
    <row r="9" spans="1:22" x14ac:dyDescent="0.25">
      <c r="A9" s="299"/>
      <c r="B9" s="279"/>
      <c r="C9" s="48"/>
      <c r="D9" s="46"/>
      <c r="E9" s="75"/>
      <c r="F9" s="76"/>
      <c r="G9" s="77"/>
      <c r="H9" s="77"/>
      <c r="I9" s="78"/>
      <c r="J9" s="79"/>
      <c r="K9" s="80"/>
      <c r="L9" s="81"/>
      <c r="M9" s="81"/>
      <c r="N9" s="82"/>
      <c r="O9" s="83"/>
      <c r="P9" s="84"/>
      <c r="Q9" s="85"/>
      <c r="R9" s="85"/>
      <c r="S9" s="86"/>
      <c r="T9" s="134"/>
      <c r="U9" s="95">
        <f t="shared" si="1"/>
        <v>0</v>
      </c>
      <c r="V9" s="87"/>
    </row>
    <row r="10" spans="1:22" x14ac:dyDescent="0.25">
      <c r="A10" s="299"/>
      <c r="B10" s="279"/>
      <c r="C10" s="48"/>
      <c r="D10" s="46"/>
      <c r="E10" s="75"/>
      <c r="F10" s="76"/>
      <c r="G10" s="77"/>
      <c r="H10" s="77"/>
      <c r="I10" s="78"/>
      <c r="J10" s="79"/>
      <c r="K10" s="80"/>
      <c r="L10" s="81"/>
      <c r="M10" s="81"/>
      <c r="N10" s="82"/>
      <c r="O10" s="83"/>
      <c r="P10" s="84"/>
      <c r="Q10" s="85"/>
      <c r="R10" s="85"/>
      <c r="S10" s="86"/>
      <c r="T10" s="72"/>
      <c r="U10" s="95">
        <f t="shared" si="1"/>
        <v>0</v>
      </c>
      <c r="V10" s="87"/>
    </row>
    <row r="11" spans="1:22" ht="15.75" thickBot="1" x14ac:dyDescent="0.3">
      <c r="A11" s="300"/>
      <c r="B11" s="280"/>
      <c r="C11" s="23"/>
      <c r="D11" s="46"/>
      <c r="E11" s="31"/>
      <c r="F11" s="51"/>
      <c r="G11" s="28"/>
      <c r="H11" s="28"/>
      <c r="I11" s="28"/>
      <c r="J11" s="29"/>
      <c r="K11" s="63"/>
      <c r="L11" s="16"/>
      <c r="M11" s="16"/>
      <c r="N11" s="16"/>
      <c r="O11" s="17"/>
      <c r="P11" s="64"/>
      <c r="Q11" s="37"/>
      <c r="R11" s="37"/>
      <c r="S11" s="37"/>
      <c r="T11" s="38"/>
      <c r="U11" s="11"/>
      <c r="V11" s="65"/>
    </row>
  </sheetData>
  <mergeCells count="10">
    <mergeCell ref="P2:T2"/>
    <mergeCell ref="F3:G3"/>
    <mergeCell ref="K3:L3"/>
    <mergeCell ref="P3:Q3"/>
    <mergeCell ref="A5:A11"/>
    <mergeCell ref="C2:C4"/>
    <mergeCell ref="D2:E2"/>
    <mergeCell ref="F2:J2"/>
    <mergeCell ref="K2:O2"/>
    <mergeCell ref="B2:B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9"/>
  <sheetViews>
    <sheetView tabSelected="1" zoomScale="60" zoomScaleNormal="60" workbookViewId="0">
      <selection activeCell="N22" sqref="N22"/>
    </sheetView>
  </sheetViews>
  <sheetFormatPr baseColWidth="10" defaultRowHeight="15" x14ac:dyDescent="0.25"/>
  <cols>
    <col min="1" max="1" width="18.5703125" customWidth="1"/>
    <col min="2" max="2" width="31" customWidth="1"/>
    <col min="3" max="3" width="59.28515625" customWidth="1"/>
    <col min="4" max="4" width="15.5703125" customWidth="1"/>
    <col min="5" max="5" width="19.42578125" customWidth="1"/>
    <col min="6" max="6" width="31.42578125" customWidth="1"/>
    <col min="7" max="7" width="35.28515625" customWidth="1"/>
    <col min="8" max="8" width="17.85546875" customWidth="1"/>
    <col min="9" max="9" width="16.85546875" customWidth="1"/>
    <col min="10" max="10" width="13.5703125" customWidth="1"/>
    <col min="11" max="11" width="15.28515625" customWidth="1"/>
    <col min="12" max="12" width="22.42578125" customWidth="1"/>
    <col min="13" max="13" width="4.85546875" customWidth="1"/>
    <col min="14" max="14" width="8.7109375" customWidth="1"/>
    <col min="15" max="15" width="15.85546875" customWidth="1"/>
  </cols>
  <sheetData>
    <row r="1" spans="1:15" ht="15.75" thickBot="1" x14ac:dyDescent="0.3">
      <c r="B1" s="208">
        <v>45992</v>
      </c>
    </row>
    <row r="2" spans="1:15" ht="15.75" thickBot="1" x14ac:dyDescent="0.3">
      <c r="A2" s="316" t="s">
        <v>211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8"/>
      <c r="M2" s="244"/>
      <c r="N2" s="319" t="s">
        <v>51</v>
      </c>
      <c r="O2" s="320"/>
    </row>
    <row r="3" spans="1:15" x14ac:dyDescent="0.25">
      <c r="A3" s="237" t="s">
        <v>138</v>
      </c>
      <c r="B3" s="238" t="s">
        <v>37</v>
      </c>
      <c r="C3" s="239" t="s">
        <v>52</v>
      </c>
      <c r="D3" s="240" t="s">
        <v>54</v>
      </c>
      <c r="E3" s="240" t="s">
        <v>47</v>
      </c>
      <c r="F3" s="240" t="s">
        <v>41</v>
      </c>
      <c r="G3" s="240" t="s">
        <v>196</v>
      </c>
      <c r="H3" s="238" t="s">
        <v>180</v>
      </c>
      <c r="I3" s="239" t="s">
        <v>179</v>
      </c>
      <c r="J3" s="238" t="s">
        <v>178</v>
      </c>
      <c r="K3" s="238" t="s">
        <v>190</v>
      </c>
      <c r="L3" s="238" t="s">
        <v>191</v>
      </c>
      <c r="M3" s="238"/>
      <c r="N3" s="241" t="s">
        <v>46</v>
      </c>
      <c r="O3" s="241" t="s">
        <v>44</v>
      </c>
    </row>
    <row r="4" spans="1:15" x14ac:dyDescent="0.25">
      <c r="A4" s="1" t="s">
        <v>217</v>
      </c>
      <c r="B4" s="1" t="s">
        <v>236</v>
      </c>
      <c r="C4" s="1" t="s">
        <v>239</v>
      </c>
      <c r="D4" s="1" t="s">
        <v>55</v>
      </c>
      <c r="E4" s="1" t="s">
        <v>71</v>
      </c>
      <c r="F4" s="1" t="s">
        <v>237</v>
      </c>
      <c r="G4" s="1" t="s">
        <v>238</v>
      </c>
      <c r="H4" s="1"/>
      <c r="I4" s="1"/>
      <c r="J4" s="1"/>
      <c r="K4" s="1"/>
      <c r="L4" s="1"/>
      <c r="M4" s="1"/>
      <c r="N4" s="1">
        <v>1</v>
      </c>
      <c r="O4" s="1"/>
    </row>
    <row r="7" spans="1:15" ht="15.75" thickBot="1" x14ac:dyDescent="0.3"/>
    <row r="8" spans="1:15" ht="15.75" thickBot="1" x14ac:dyDescent="0.3">
      <c r="A8" s="321" t="s">
        <v>204</v>
      </c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</row>
    <row r="9" spans="1:15" ht="15.75" thickBot="1" x14ac:dyDescent="0.3">
      <c r="A9" s="207" t="s">
        <v>138</v>
      </c>
      <c r="B9" s="204" t="s">
        <v>37</v>
      </c>
      <c r="C9" s="205" t="s">
        <v>52</v>
      </c>
      <c r="D9" s="206" t="s">
        <v>54</v>
      </c>
      <c r="E9" s="206" t="s">
        <v>47</v>
      </c>
      <c r="F9" s="206" t="s">
        <v>41</v>
      </c>
      <c r="G9" s="206" t="s">
        <v>196</v>
      </c>
      <c r="H9" s="204" t="s">
        <v>180</v>
      </c>
      <c r="I9" s="205" t="s">
        <v>179</v>
      </c>
      <c r="J9" s="204" t="s">
        <v>178</v>
      </c>
      <c r="K9" s="204" t="s">
        <v>190</v>
      </c>
      <c r="L9" s="204" t="s">
        <v>191</v>
      </c>
      <c r="M9" s="204"/>
      <c r="N9" s="52" t="s">
        <v>46</v>
      </c>
      <c r="O9" s="52" t="s">
        <v>44</v>
      </c>
    </row>
    <row r="10" spans="1:15" x14ac:dyDescent="0.25">
      <c r="A10" s="1"/>
      <c r="B10" s="1" t="s">
        <v>75</v>
      </c>
      <c r="C10" s="1" t="s">
        <v>205</v>
      </c>
      <c r="D10" s="1" t="s">
        <v>55</v>
      </c>
      <c r="E10" s="1" t="s">
        <v>71</v>
      </c>
      <c r="F10" s="1" t="s">
        <v>206</v>
      </c>
      <c r="G10" s="1" t="s">
        <v>207</v>
      </c>
      <c r="H10" s="139">
        <v>750</v>
      </c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 t="s">
        <v>56</v>
      </c>
      <c r="C11" s="1" t="s">
        <v>208</v>
      </c>
      <c r="D11" s="1" t="s">
        <v>57</v>
      </c>
      <c r="E11" s="1" t="s">
        <v>224</v>
      </c>
      <c r="F11" s="1" t="s">
        <v>206</v>
      </c>
      <c r="G11" s="1" t="s">
        <v>207</v>
      </c>
      <c r="H11" s="139">
        <v>300</v>
      </c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 t="s">
        <v>56</v>
      </c>
      <c r="C12" s="1" t="s">
        <v>209</v>
      </c>
      <c r="D12" s="1" t="s">
        <v>57</v>
      </c>
      <c r="E12" s="1" t="s">
        <v>224</v>
      </c>
      <c r="F12" s="1" t="s">
        <v>206</v>
      </c>
      <c r="G12" s="1" t="s">
        <v>207</v>
      </c>
      <c r="H12" s="139">
        <v>400</v>
      </c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 t="s">
        <v>56</v>
      </c>
      <c r="C13" s="1" t="s">
        <v>210</v>
      </c>
      <c r="D13" s="1" t="s">
        <v>57</v>
      </c>
      <c r="E13" s="1" t="s">
        <v>224</v>
      </c>
      <c r="F13" s="1" t="s">
        <v>206</v>
      </c>
      <c r="G13" s="1" t="s">
        <v>207</v>
      </c>
      <c r="H13" s="139">
        <f>2000+240</f>
        <v>2240</v>
      </c>
      <c r="I13" s="1"/>
      <c r="J13" s="1"/>
      <c r="K13" s="1"/>
      <c r="L13" s="1"/>
      <c r="M13" s="1"/>
      <c r="N13" s="1">
        <v>4</v>
      </c>
      <c r="O13" s="1"/>
    </row>
    <row r="14" spans="1:15" x14ac:dyDescent="0.25">
      <c r="A14" s="1" t="s">
        <v>217</v>
      </c>
      <c r="B14" s="1" t="s">
        <v>232</v>
      </c>
      <c r="C14" s="1" t="s">
        <v>235</v>
      </c>
      <c r="D14" s="1" t="s">
        <v>55</v>
      </c>
      <c r="E14" s="1" t="s">
        <v>233</v>
      </c>
      <c r="F14" s="1" t="s">
        <v>84</v>
      </c>
      <c r="G14" s="1" t="s">
        <v>207</v>
      </c>
      <c r="H14" s="139">
        <v>1980</v>
      </c>
      <c r="I14" s="1"/>
      <c r="J14" s="1"/>
      <c r="K14" s="1"/>
      <c r="L14" s="1"/>
      <c r="M14" s="1"/>
      <c r="N14" s="1">
        <f>1+1+1+2+2+3+2+2+1+5+2+4+5+1+0.5</f>
        <v>32.5</v>
      </c>
      <c r="O14" s="135">
        <f>H14/N14</f>
        <v>60.92307692307692</v>
      </c>
    </row>
    <row r="15" spans="1:15" x14ac:dyDescent="0.25">
      <c r="A15" s="1" t="s">
        <v>217</v>
      </c>
      <c r="B15" s="1" t="s">
        <v>232</v>
      </c>
      <c r="C15" s="1" t="s">
        <v>234</v>
      </c>
      <c r="D15" s="1" t="s">
        <v>55</v>
      </c>
      <c r="E15" s="1" t="s">
        <v>233</v>
      </c>
      <c r="F15" s="1" t="s">
        <v>84</v>
      </c>
      <c r="G15" s="1" t="s">
        <v>207</v>
      </c>
      <c r="H15" s="139">
        <v>1500</v>
      </c>
      <c r="I15" s="1"/>
      <c r="J15" s="1"/>
      <c r="K15" s="1"/>
      <c r="L15" s="1"/>
      <c r="M15" s="1"/>
      <c r="N15" s="1">
        <v>0</v>
      </c>
      <c r="O15" s="135" t="e">
        <f>H15/N15</f>
        <v>#DIV/0!</v>
      </c>
    </row>
    <row r="16" spans="1:15" x14ac:dyDescent="0.25">
      <c r="A16" s="1" t="s">
        <v>249</v>
      </c>
      <c r="B16" s="1" t="s">
        <v>56</v>
      </c>
      <c r="C16" s="1" t="s">
        <v>240</v>
      </c>
      <c r="D16" s="1" t="s">
        <v>241</v>
      </c>
      <c r="E16" s="1" t="s">
        <v>224</v>
      </c>
      <c r="F16" s="1" t="s">
        <v>237</v>
      </c>
      <c r="G16" s="1" t="s">
        <v>207</v>
      </c>
      <c r="H16" s="1"/>
      <c r="I16" s="1"/>
      <c r="J16" s="1"/>
      <c r="K16" s="1"/>
      <c r="L16" s="1"/>
      <c r="M16" s="1"/>
      <c r="N16" s="1">
        <f>1+2+1.5</f>
        <v>4.5</v>
      </c>
      <c r="O16" s="1"/>
    </row>
    <row r="17" spans="1:27" x14ac:dyDescent="0.25">
      <c r="A17" s="1" t="s">
        <v>249</v>
      </c>
      <c r="B17" s="1" t="s">
        <v>276</v>
      </c>
      <c r="C17" s="1" t="s">
        <v>278</v>
      </c>
      <c r="D17" s="1" t="s">
        <v>55</v>
      </c>
      <c r="E17" s="1" t="s">
        <v>224</v>
      </c>
      <c r="F17" s="1" t="s">
        <v>277</v>
      </c>
      <c r="G17" s="1" t="s">
        <v>207</v>
      </c>
      <c r="H17" s="139">
        <v>350</v>
      </c>
      <c r="I17" s="1"/>
      <c r="J17" s="1"/>
      <c r="K17" s="1"/>
      <c r="L17" s="1"/>
      <c r="M17" s="1"/>
      <c r="N17" s="1">
        <v>8</v>
      </c>
      <c r="O17" s="135">
        <f>H17/N17</f>
        <v>43.75</v>
      </c>
      <c r="P17" s="257"/>
      <c r="Q17" s="5"/>
      <c r="R17" s="1"/>
      <c r="S17" s="1"/>
      <c r="T17" s="4"/>
      <c r="U17" s="212"/>
      <c r="V17" s="199"/>
      <c r="W17" s="1"/>
      <c r="X17" s="1"/>
      <c r="Y17" s="1"/>
      <c r="Z17" s="139" t="e">
        <f>'TRABAJOS REALIZADOS'!#REF!+'TRABAJOS REALIZADOS'!K51+P17+U17+Q17+V17</f>
        <v>#REF!</v>
      </c>
      <c r="AA17" s="145" t="e">
        <f>'TRABAJOS REALIZADOS'!H51-Z17</f>
        <v>#VALUE!</v>
      </c>
    </row>
    <row r="18" spans="1:27" x14ac:dyDescent="0.25">
      <c r="A18" s="1" t="s">
        <v>249</v>
      </c>
      <c r="B18" s="1" t="s">
        <v>272</v>
      </c>
      <c r="C18" s="1" t="s">
        <v>273</v>
      </c>
      <c r="D18" s="1" t="s">
        <v>55</v>
      </c>
      <c r="E18" s="1" t="s">
        <v>71</v>
      </c>
      <c r="F18" s="1" t="s">
        <v>227</v>
      </c>
      <c r="G18" s="1" t="s">
        <v>274</v>
      </c>
      <c r="H18" s="139">
        <v>300</v>
      </c>
      <c r="I18" s="1"/>
      <c r="J18" s="1"/>
      <c r="K18" s="1"/>
      <c r="L18" s="1"/>
      <c r="M18" s="1"/>
      <c r="N18" s="1">
        <f>1+1+0.5+3.5</f>
        <v>6</v>
      </c>
      <c r="O18" s="135">
        <f>H18/N18</f>
        <v>50</v>
      </c>
    </row>
    <row r="19" spans="1:27" x14ac:dyDescent="0.25">
      <c r="A19" s="1" t="s">
        <v>249</v>
      </c>
      <c r="B19" s="1" t="s">
        <v>284</v>
      </c>
      <c r="C19" s="1" t="s">
        <v>285</v>
      </c>
      <c r="D19" s="1" t="s">
        <v>55</v>
      </c>
      <c r="E19" s="1" t="s">
        <v>71</v>
      </c>
      <c r="F19" s="1" t="s">
        <v>286</v>
      </c>
      <c r="G19" s="1" t="s">
        <v>287</v>
      </c>
      <c r="H19" s="139">
        <v>2000</v>
      </c>
      <c r="I19" s="1"/>
      <c r="J19" s="1"/>
      <c r="K19" s="1"/>
      <c r="L19" s="1"/>
      <c r="M19" s="1"/>
      <c r="N19" s="1">
        <f>2+2</f>
        <v>4</v>
      </c>
      <c r="O19" s="135">
        <f>H19/N19</f>
        <v>500</v>
      </c>
    </row>
    <row r="20" spans="1:27" x14ac:dyDescent="0.25">
      <c r="A20" s="297" t="s">
        <v>279</v>
      </c>
      <c r="B20" s="297" t="s">
        <v>306</v>
      </c>
      <c r="C20" s="297" t="s">
        <v>307</v>
      </c>
      <c r="D20" s="297" t="s">
        <v>55</v>
      </c>
      <c r="E20" s="297" t="s">
        <v>224</v>
      </c>
      <c r="F20" s="297" t="s">
        <v>308</v>
      </c>
      <c r="G20" s="297" t="s">
        <v>207</v>
      </c>
      <c r="H20" s="1"/>
      <c r="I20" s="1"/>
      <c r="J20" s="1"/>
      <c r="K20" s="1"/>
      <c r="L20" s="1"/>
      <c r="M20" s="1"/>
      <c r="N20" s="1">
        <v>2.5</v>
      </c>
      <c r="O20" s="1"/>
    </row>
    <row r="21" spans="1:27" x14ac:dyDescent="0.25">
      <c r="A21" s="297" t="s">
        <v>279</v>
      </c>
      <c r="B21" s="297" t="s">
        <v>306</v>
      </c>
      <c r="C21" s="297" t="s">
        <v>309</v>
      </c>
      <c r="D21" s="297" t="s">
        <v>55</v>
      </c>
      <c r="E21" s="297" t="s">
        <v>224</v>
      </c>
      <c r="F21" s="297" t="s">
        <v>308</v>
      </c>
      <c r="G21" s="297" t="s">
        <v>207</v>
      </c>
      <c r="H21" s="1"/>
      <c r="I21" s="1"/>
      <c r="J21" s="1"/>
      <c r="K21" s="1"/>
      <c r="L21" s="1"/>
      <c r="M21" s="1"/>
      <c r="N21" s="1" t="s">
        <v>313</v>
      </c>
      <c r="O21" s="1"/>
    </row>
    <row r="22" spans="1:27" x14ac:dyDescent="0.25">
      <c r="A22" s="1" t="s">
        <v>279</v>
      </c>
      <c r="B22" s="1" t="s">
        <v>56</v>
      </c>
      <c r="C22" s="1" t="s">
        <v>310</v>
      </c>
      <c r="D22" s="1" t="s">
        <v>57</v>
      </c>
      <c r="E22" s="1" t="s">
        <v>224</v>
      </c>
      <c r="F22" s="1" t="s">
        <v>311</v>
      </c>
      <c r="G22" s="1" t="s">
        <v>207</v>
      </c>
      <c r="H22" s="139"/>
      <c r="I22" s="1"/>
      <c r="J22" s="1"/>
      <c r="K22" s="1"/>
      <c r="L22" s="1"/>
      <c r="M22" s="1"/>
      <c r="N22" s="1">
        <v>2</v>
      </c>
      <c r="O22" s="1"/>
    </row>
    <row r="23" spans="1:27" x14ac:dyDescent="0.25">
      <c r="A23" s="1" t="s">
        <v>249</v>
      </c>
      <c r="B23" s="1" t="s">
        <v>272</v>
      </c>
      <c r="C23" s="1" t="s">
        <v>273</v>
      </c>
      <c r="D23" s="1" t="s">
        <v>55</v>
      </c>
      <c r="E23" s="1" t="s">
        <v>71</v>
      </c>
      <c r="F23" s="1" t="s">
        <v>275</v>
      </c>
      <c r="G23" s="1" t="s">
        <v>274</v>
      </c>
      <c r="H23" s="1">
        <v>150</v>
      </c>
      <c r="I23" s="1"/>
      <c r="J23" s="1"/>
      <c r="K23" s="1"/>
      <c r="L23" s="1"/>
      <c r="M23" s="1"/>
      <c r="N23" s="1">
        <v>0</v>
      </c>
      <c r="O23" s="1"/>
    </row>
    <row r="37" spans="1:15" x14ac:dyDescent="0.25">
      <c r="A37" s="1" t="s">
        <v>173</v>
      </c>
      <c r="B37" s="1" t="s">
        <v>192</v>
      </c>
      <c r="C37" s="1" t="s">
        <v>197</v>
      </c>
      <c r="D37" s="1" t="s">
        <v>55</v>
      </c>
      <c r="E37" s="1" t="s">
        <v>71</v>
      </c>
      <c r="F37" s="1" t="s">
        <v>84</v>
      </c>
      <c r="G37" s="1" t="s">
        <v>193</v>
      </c>
      <c r="H37" s="1" t="s">
        <v>199</v>
      </c>
      <c r="I37" s="1"/>
      <c r="J37" s="1"/>
      <c r="K37" s="1"/>
      <c r="L37" s="1"/>
      <c r="M37" s="1"/>
      <c r="N37" s="1"/>
      <c r="O37" s="1"/>
    </row>
    <row r="38" spans="1:15" x14ac:dyDescent="0.25">
      <c r="A38" s="1" t="s">
        <v>173</v>
      </c>
      <c r="B38" s="1" t="s">
        <v>192</v>
      </c>
      <c r="C38" s="1" t="s">
        <v>198</v>
      </c>
      <c r="D38" s="1" t="s">
        <v>55</v>
      </c>
      <c r="E38" s="1" t="s">
        <v>71</v>
      </c>
      <c r="F38" s="1" t="s">
        <v>84</v>
      </c>
      <c r="G38" s="1" t="s">
        <v>193</v>
      </c>
      <c r="H38" s="1" t="s">
        <v>200</v>
      </c>
      <c r="I38" s="1"/>
      <c r="J38" s="1"/>
      <c r="K38" s="1"/>
      <c r="L38" s="1"/>
      <c r="M38" s="1"/>
      <c r="N38" s="1"/>
      <c r="O38" s="1"/>
    </row>
    <row r="39" spans="1:15" x14ac:dyDescent="0.25">
      <c r="A39" s="1" t="s">
        <v>253</v>
      </c>
      <c r="B39" s="1" t="s">
        <v>271</v>
      </c>
      <c r="C39" s="1" t="s">
        <v>270</v>
      </c>
      <c r="D39" s="1" t="s">
        <v>55</v>
      </c>
      <c r="E39" s="1" t="s">
        <v>71</v>
      </c>
      <c r="F39" s="1" t="s">
        <v>237</v>
      </c>
      <c r="G39" s="1" t="s">
        <v>269</v>
      </c>
      <c r="H39" s="1"/>
      <c r="I39" s="1"/>
      <c r="J39" s="1"/>
      <c r="K39" s="1"/>
      <c r="L39" s="1"/>
      <c r="M39" s="1"/>
      <c r="N39" s="1"/>
      <c r="O39" s="1"/>
    </row>
  </sheetData>
  <mergeCells count="3">
    <mergeCell ref="A2:L2"/>
    <mergeCell ref="N2:O2"/>
    <mergeCell ref="A8:O8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2:N56"/>
  <sheetViews>
    <sheetView topLeftCell="A7" zoomScale="70" zoomScaleNormal="70" workbookViewId="0">
      <selection activeCell="G28" sqref="G28"/>
    </sheetView>
  </sheetViews>
  <sheetFormatPr baseColWidth="10" defaultRowHeight="15" x14ac:dyDescent="0.25"/>
  <cols>
    <col min="1" max="1" width="11.5703125" style="165"/>
    <col min="2" max="2" width="27.28515625" style="165" customWidth="1"/>
    <col min="3" max="3" width="23.7109375" customWidth="1"/>
    <col min="4" max="4" width="53.28515625" customWidth="1"/>
    <col min="5" max="5" width="17.7109375" customWidth="1"/>
    <col min="6" max="6" width="22" customWidth="1"/>
    <col min="7" max="7" width="37.28515625" customWidth="1"/>
    <col min="8" max="8" width="22.140625" customWidth="1"/>
    <col min="9" max="9" width="11.42578125" customWidth="1"/>
    <col min="11" max="11" width="17.5703125" customWidth="1"/>
    <col min="12" max="12" width="4.42578125" customWidth="1"/>
    <col min="13" max="13" width="20.42578125" customWidth="1"/>
    <col min="14" max="14" width="15.85546875" customWidth="1"/>
  </cols>
  <sheetData>
    <row r="2" spans="1:14" ht="15.75" thickBot="1" x14ac:dyDescent="0.3">
      <c r="D2" s="171">
        <v>46003</v>
      </c>
    </row>
    <row r="3" spans="1:14" ht="15.75" thickBot="1" x14ac:dyDescent="0.3">
      <c r="A3" s="335" t="s">
        <v>79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M3" s="323" t="s">
        <v>51</v>
      </c>
      <c r="N3" s="324"/>
    </row>
    <row r="4" spans="1:14" ht="15.75" thickBot="1" x14ac:dyDescent="0.3">
      <c r="A4" s="215" t="s">
        <v>295</v>
      </c>
      <c r="B4" s="215" t="s">
        <v>294</v>
      </c>
      <c r="C4" s="215" t="s">
        <v>37</v>
      </c>
      <c r="D4" s="216" t="s">
        <v>52</v>
      </c>
      <c r="E4" s="216" t="s">
        <v>54</v>
      </c>
      <c r="F4" s="216" t="s">
        <v>47</v>
      </c>
      <c r="G4" s="216" t="s">
        <v>41</v>
      </c>
      <c r="H4" s="216" t="s">
        <v>181</v>
      </c>
      <c r="I4" s="216" t="s">
        <v>39</v>
      </c>
      <c r="J4" s="216" t="s">
        <v>40</v>
      </c>
      <c r="K4" s="217" t="s">
        <v>43</v>
      </c>
      <c r="M4" s="138" t="s">
        <v>46</v>
      </c>
      <c r="N4" s="138" t="s">
        <v>44</v>
      </c>
    </row>
    <row r="5" spans="1:14" ht="15.75" thickBot="1" x14ac:dyDescent="0.3">
      <c r="A5" s="336">
        <v>2025</v>
      </c>
      <c r="B5" s="325" t="s">
        <v>80</v>
      </c>
      <c r="C5" s="69" t="s">
        <v>38</v>
      </c>
      <c r="D5" s="67" t="s">
        <v>62</v>
      </c>
      <c r="E5" s="67" t="s">
        <v>63</v>
      </c>
      <c r="F5" s="67" t="s">
        <v>64</v>
      </c>
      <c r="G5" s="254" t="s">
        <v>49</v>
      </c>
      <c r="H5" s="67" t="s">
        <v>183</v>
      </c>
      <c r="I5" s="67">
        <v>40</v>
      </c>
      <c r="J5" s="67"/>
      <c r="K5" s="108">
        <v>45678</v>
      </c>
      <c r="M5" s="135">
        <f>3.5+1</f>
        <v>4.5</v>
      </c>
      <c r="N5" s="139">
        <f>I5/M5</f>
        <v>8.8888888888888893</v>
      </c>
    </row>
    <row r="6" spans="1:14" x14ac:dyDescent="0.25">
      <c r="A6" s="336"/>
      <c r="B6" s="326"/>
      <c r="C6" s="5" t="s">
        <v>56</v>
      </c>
      <c r="D6" s="1" t="s">
        <v>59</v>
      </c>
      <c r="E6" s="1" t="s">
        <v>61</v>
      </c>
      <c r="F6" s="1" t="s">
        <v>48</v>
      </c>
      <c r="G6" s="73" t="s">
        <v>60</v>
      </c>
      <c r="H6" s="1" t="s">
        <v>182</v>
      </c>
      <c r="I6" s="1">
        <v>500</v>
      </c>
      <c r="J6" s="1"/>
      <c r="K6" s="108">
        <v>45677</v>
      </c>
      <c r="M6" s="135">
        <f>2+4+3</f>
        <v>9</v>
      </c>
      <c r="N6" s="139">
        <f>I6/M6</f>
        <v>55.555555555555557</v>
      </c>
    </row>
    <row r="7" spans="1:14" x14ac:dyDescent="0.25">
      <c r="A7" s="336"/>
      <c r="B7" s="326"/>
      <c r="C7" s="5" t="s">
        <v>56</v>
      </c>
      <c r="D7" s="1" t="s">
        <v>45</v>
      </c>
      <c r="E7" s="1" t="s">
        <v>57</v>
      </c>
      <c r="F7" s="1" t="s">
        <v>48</v>
      </c>
      <c r="G7" s="74" t="s">
        <v>227</v>
      </c>
      <c r="H7" s="1" t="s">
        <v>182</v>
      </c>
      <c r="I7" s="175" t="s">
        <v>66</v>
      </c>
      <c r="J7" s="175"/>
      <c r="K7" s="193"/>
      <c r="M7" s="135">
        <f>2+1</f>
        <v>3</v>
      </c>
      <c r="N7" s="139"/>
    </row>
    <row r="8" spans="1:14" ht="15.75" thickBot="1" x14ac:dyDescent="0.3">
      <c r="A8" s="336"/>
      <c r="B8" s="327"/>
      <c r="C8" s="63" t="s">
        <v>65</v>
      </c>
      <c r="D8" s="16" t="s">
        <v>67</v>
      </c>
      <c r="E8" s="16" t="s">
        <v>55</v>
      </c>
      <c r="F8" s="16" t="s">
        <v>64</v>
      </c>
      <c r="G8" s="253" t="s">
        <v>49</v>
      </c>
      <c r="H8" s="16" t="s">
        <v>183</v>
      </c>
      <c r="I8" s="179" t="s">
        <v>66</v>
      </c>
      <c r="J8" s="179"/>
      <c r="K8" s="195"/>
      <c r="M8" s="135">
        <v>8</v>
      </c>
      <c r="N8" s="139"/>
    </row>
    <row r="9" spans="1:14" x14ac:dyDescent="0.25">
      <c r="A9" s="325">
        <v>2025</v>
      </c>
      <c r="B9" s="325" t="s">
        <v>81</v>
      </c>
      <c r="C9" s="69" t="s">
        <v>56</v>
      </c>
      <c r="D9" s="67" t="s">
        <v>73</v>
      </c>
      <c r="E9" s="67" t="s">
        <v>57</v>
      </c>
      <c r="F9" s="67" t="s">
        <v>48</v>
      </c>
      <c r="G9" s="180" t="s">
        <v>74</v>
      </c>
      <c r="H9" s="67" t="s">
        <v>182</v>
      </c>
      <c r="I9" s="277">
        <v>200</v>
      </c>
      <c r="J9" s="67"/>
      <c r="K9" s="108">
        <v>45695</v>
      </c>
      <c r="M9" s="135">
        <v>5.5</v>
      </c>
      <c r="N9" s="139">
        <f t="shared" ref="N9:N56" si="0">I9/M9</f>
        <v>36.363636363636367</v>
      </c>
    </row>
    <row r="10" spans="1:14" x14ac:dyDescent="0.25">
      <c r="A10" s="326"/>
      <c r="B10" s="326"/>
      <c r="C10" s="5" t="s">
        <v>72</v>
      </c>
      <c r="D10" s="1" t="s">
        <v>70</v>
      </c>
      <c r="E10" s="1" t="s">
        <v>55</v>
      </c>
      <c r="F10" s="1" t="s">
        <v>71</v>
      </c>
      <c r="G10" s="74" t="s">
        <v>227</v>
      </c>
      <c r="H10" s="1" t="s">
        <v>184</v>
      </c>
      <c r="I10" s="1">
        <v>150</v>
      </c>
      <c r="J10" s="1"/>
      <c r="K10" s="15">
        <v>45698</v>
      </c>
      <c r="M10" s="135">
        <f>1+2+2+0.5</f>
        <v>5.5</v>
      </c>
      <c r="N10" s="139">
        <f t="shared" si="0"/>
        <v>27.272727272727273</v>
      </c>
    </row>
    <row r="11" spans="1:14" x14ac:dyDescent="0.25">
      <c r="A11" s="326"/>
      <c r="B11" s="326"/>
      <c r="C11" s="5" t="s">
        <v>72</v>
      </c>
      <c r="D11" s="1" t="s">
        <v>70</v>
      </c>
      <c r="E11" s="1" t="s">
        <v>55</v>
      </c>
      <c r="F11" s="1" t="s">
        <v>71</v>
      </c>
      <c r="G11" s="137" t="s">
        <v>82</v>
      </c>
      <c r="H11" s="1" t="s">
        <v>184</v>
      </c>
      <c r="I11" s="1">
        <v>150</v>
      </c>
      <c r="J11" s="1"/>
      <c r="K11" s="15">
        <v>45703</v>
      </c>
      <c r="M11" s="135">
        <v>3</v>
      </c>
      <c r="N11" s="140">
        <f t="shared" si="0"/>
        <v>50</v>
      </c>
    </row>
    <row r="12" spans="1:14" x14ac:dyDescent="0.25">
      <c r="A12" s="326"/>
      <c r="B12" s="326"/>
      <c r="C12" s="5" t="s">
        <v>38</v>
      </c>
      <c r="D12" s="1" t="s">
        <v>53</v>
      </c>
      <c r="E12" s="1" t="s">
        <v>55</v>
      </c>
      <c r="F12" s="1" t="s">
        <v>64</v>
      </c>
      <c r="G12" s="252" t="s">
        <v>49</v>
      </c>
      <c r="H12" s="1" t="s">
        <v>183</v>
      </c>
      <c r="I12" s="1">
        <v>70</v>
      </c>
      <c r="J12" s="1"/>
      <c r="K12" s="15">
        <v>45666</v>
      </c>
      <c r="M12" s="135">
        <f>4+1.5+1</f>
        <v>6.5</v>
      </c>
      <c r="N12" s="139">
        <f t="shared" si="0"/>
        <v>10.76923076923077</v>
      </c>
    </row>
    <row r="13" spans="1:14" x14ac:dyDescent="0.25">
      <c r="A13" s="326"/>
      <c r="B13" s="326"/>
      <c r="C13" s="5" t="s">
        <v>75</v>
      </c>
      <c r="D13" s="1" t="s">
        <v>76</v>
      </c>
      <c r="E13" s="1" t="s">
        <v>55</v>
      </c>
      <c r="F13" s="1" t="s">
        <v>71</v>
      </c>
      <c r="G13" s="177" t="s">
        <v>76</v>
      </c>
      <c r="H13" s="1" t="s">
        <v>182</v>
      </c>
      <c r="I13" s="1">
        <v>80</v>
      </c>
      <c r="J13" s="1"/>
      <c r="K13" s="15">
        <v>45698</v>
      </c>
      <c r="M13" s="135">
        <v>3</v>
      </c>
      <c r="N13" s="139">
        <f t="shared" si="0"/>
        <v>26.666666666666668</v>
      </c>
    </row>
    <row r="14" spans="1:14" ht="15.75" thickBot="1" x14ac:dyDescent="0.3">
      <c r="A14" s="327"/>
      <c r="B14" s="327"/>
      <c r="C14" s="63" t="s">
        <v>77</v>
      </c>
      <c r="D14" s="16" t="s">
        <v>76</v>
      </c>
      <c r="E14" s="16" t="s">
        <v>78</v>
      </c>
      <c r="F14" s="16" t="s">
        <v>71</v>
      </c>
      <c r="G14" s="136" t="s">
        <v>76</v>
      </c>
      <c r="H14" s="16" t="s">
        <v>185</v>
      </c>
      <c r="I14" s="16">
        <v>88</v>
      </c>
      <c r="J14" s="16"/>
      <c r="K14" s="17">
        <v>45708</v>
      </c>
      <c r="M14" s="135">
        <f>1+1+2</f>
        <v>4</v>
      </c>
      <c r="N14" s="139">
        <f t="shared" si="0"/>
        <v>22</v>
      </c>
    </row>
    <row r="15" spans="1:14" x14ac:dyDescent="0.25">
      <c r="A15" s="298">
        <v>2025</v>
      </c>
      <c r="B15" s="298" t="s">
        <v>86</v>
      </c>
      <c r="C15" s="172" t="s">
        <v>56</v>
      </c>
      <c r="D15" s="67" t="s">
        <v>87</v>
      </c>
      <c r="E15" s="67" t="s">
        <v>57</v>
      </c>
      <c r="F15" s="67" t="s">
        <v>48</v>
      </c>
      <c r="G15" s="254" t="s">
        <v>88</v>
      </c>
      <c r="H15" s="67" t="s">
        <v>182</v>
      </c>
      <c r="I15" s="67">
        <v>100</v>
      </c>
      <c r="J15" s="67"/>
      <c r="K15" s="108">
        <v>45721</v>
      </c>
      <c r="M15" s="135">
        <f>1+1+2</f>
        <v>4</v>
      </c>
      <c r="N15" s="139">
        <f t="shared" si="0"/>
        <v>25</v>
      </c>
    </row>
    <row r="16" spans="1:14" x14ac:dyDescent="0.25">
      <c r="A16" s="299"/>
      <c r="B16" s="299"/>
      <c r="C16" s="5" t="s">
        <v>38</v>
      </c>
      <c r="D16" s="1" t="s">
        <v>93</v>
      </c>
      <c r="E16" s="1" t="s">
        <v>63</v>
      </c>
      <c r="F16" s="1" t="s">
        <v>64</v>
      </c>
      <c r="G16" s="178" t="s">
        <v>91</v>
      </c>
      <c r="H16" s="1" t="s">
        <v>183</v>
      </c>
      <c r="I16" s="1">
        <v>30</v>
      </c>
      <c r="J16" s="1"/>
      <c r="K16" s="15">
        <v>45726</v>
      </c>
      <c r="M16" s="135">
        <v>2</v>
      </c>
      <c r="N16" s="139">
        <f t="shared" si="0"/>
        <v>15</v>
      </c>
    </row>
    <row r="17" spans="1:14" x14ac:dyDescent="0.25">
      <c r="A17" s="299"/>
      <c r="B17" s="299"/>
      <c r="C17" s="5" t="s">
        <v>94</v>
      </c>
      <c r="D17" s="1" t="s">
        <v>96</v>
      </c>
      <c r="E17" s="1" t="s">
        <v>63</v>
      </c>
      <c r="F17" s="1" t="s">
        <v>95</v>
      </c>
      <c r="G17" s="252" t="s">
        <v>49</v>
      </c>
      <c r="H17" s="1" t="s">
        <v>183</v>
      </c>
      <c r="I17" s="1">
        <v>25</v>
      </c>
      <c r="J17" s="1"/>
      <c r="K17" s="15">
        <v>45740</v>
      </c>
      <c r="M17" s="135">
        <v>1.5</v>
      </c>
      <c r="N17" s="139">
        <f t="shared" si="0"/>
        <v>16.666666666666668</v>
      </c>
    </row>
    <row r="18" spans="1:14" x14ac:dyDescent="0.25">
      <c r="A18" s="299"/>
      <c r="B18" s="299"/>
      <c r="C18" s="5" t="s">
        <v>94</v>
      </c>
      <c r="D18" s="1" t="s">
        <v>98</v>
      </c>
      <c r="E18" s="278" t="s">
        <v>63</v>
      </c>
      <c r="F18" s="1" t="s">
        <v>95</v>
      </c>
      <c r="G18" s="137" t="s">
        <v>296</v>
      </c>
      <c r="H18" s="1" t="s">
        <v>183</v>
      </c>
      <c r="I18" s="1">
        <v>35</v>
      </c>
      <c r="J18" s="1"/>
      <c r="K18" s="15">
        <v>45740</v>
      </c>
      <c r="M18" s="135">
        <v>2</v>
      </c>
      <c r="N18" s="139">
        <f t="shared" si="0"/>
        <v>17.5</v>
      </c>
    </row>
    <row r="19" spans="1:14" x14ac:dyDescent="0.25">
      <c r="A19" s="299"/>
      <c r="B19" s="299"/>
      <c r="C19" s="5" t="s">
        <v>89</v>
      </c>
      <c r="D19" s="1" t="s">
        <v>90</v>
      </c>
      <c r="E19" s="1" t="s">
        <v>63</v>
      </c>
      <c r="F19" s="1" t="s">
        <v>71</v>
      </c>
      <c r="G19" s="73" t="s">
        <v>297</v>
      </c>
      <c r="H19" s="1" t="s">
        <v>186</v>
      </c>
      <c r="I19" s="1">
        <v>680</v>
      </c>
      <c r="J19" s="1"/>
      <c r="K19" s="15">
        <v>45748</v>
      </c>
      <c r="M19" s="135">
        <f>3+1.5+3+5+4+4+2.5+3+4+2+4</f>
        <v>36</v>
      </c>
      <c r="N19" s="139">
        <f t="shared" si="0"/>
        <v>18.888888888888889</v>
      </c>
    </row>
    <row r="20" spans="1:14" x14ac:dyDescent="0.25">
      <c r="A20" s="299"/>
      <c r="B20" s="299"/>
      <c r="C20" s="5" t="s">
        <v>38</v>
      </c>
      <c r="D20" s="1" t="s">
        <v>103</v>
      </c>
      <c r="E20" s="1" t="s">
        <v>63</v>
      </c>
      <c r="F20" s="1" t="s">
        <v>71</v>
      </c>
      <c r="G20" s="252" t="s">
        <v>49</v>
      </c>
      <c r="H20" s="1" t="s">
        <v>183</v>
      </c>
      <c r="I20" s="1">
        <v>100</v>
      </c>
      <c r="J20" s="1"/>
      <c r="K20" s="15">
        <v>45763</v>
      </c>
      <c r="M20" s="135">
        <f>3+1+1.5+0.5</f>
        <v>6</v>
      </c>
      <c r="N20" s="139">
        <f t="shared" si="0"/>
        <v>16.666666666666668</v>
      </c>
    </row>
    <row r="21" spans="1:14" x14ac:dyDescent="0.25">
      <c r="A21" s="299"/>
      <c r="B21" s="299"/>
      <c r="C21" s="5" t="s">
        <v>101</v>
      </c>
      <c r="D21" s="1" t="s">
        <v>99</v>
      </c>
      <c r="E21" s="1" t="s">
        <v>63</v>
      </c>
      <c r="F21" s="1" t="s">
        <v>71</v>
      </c>
      <c r="G21" s="214" t="s">
        <v>176</v>
      </c>
      <c r="H21" s="1" t="s">
        <v>183</v>
      </c>
      <c r="I21" s="1">
        <v>380</v>
      </c>
      <c r="J21" s="1"/>
      <c r="K21" s="15">
        <v>45767</v>
      </c>
      <c r="M21" s="135">
        <f>2+1+2+2.5+0.5+0.5+1.5+1</f>
        <v>11</v>
      </c>
      <c r="N21" s="139">
        <f t="shared" si="0"/>
        <v>34.545454545454547</v>
      </c>
    </row>
    <row r="22" spans="1:14" ht="15.75" thickBot="1" x14ac:dyDescent="0.3">
      <c r="A22" s="299"/>
      <c r="B22" s="299"/>
      <c r="C22" s="63" t="s">
        <v>83</v>
      </c>
      <c r="D22" s="16" t="s">
        <v>85</v>
      </c>
      <c r="E22" s="16" t="s">
        <v>63</v>
      </c>
      <c r="F22" s="16" t="s">
        <v>71</v>
      </c>
      <c r="G22" s="173" t="s">
        <v>84</v>
      </c>
      <c r="H22" s="16" t="s">
        <v>182</v>
      </c>
      <c r="I22" s="16">
        <v>980</v>
      </c>
      <c r="J22" s="16"/>
      <c r="K22" s="17">
        <v>45957</v>
      </c>
      <c r="M22" s="135">
        <f>1+0.5+3+1+3+1+1+2+1+2+1.5+3+3+3+3+2</f>
        <v>31</v>
      </c>
      <c r="N22" s="139">
        <f t="shared" si="0"/>
        <v>31.612903225806452</v>
      </c>
    </row>
    <row r="23" spans="1:14" x14ac:dyDescent="0.25">
      <c r="A23" s="298">
        <v>2025</v>
      </c>
      <c r="B23" s="298" t="s">
        <v>120</v>
      </c>
      <c r="C23" s="174" t="s">
        <v>56</v>
      </c>
      <c r="D23" s="67" t="s">
        <v>128</v>
      </c>
      <c r="E23" s="67" t="s">
        <v>57</v>
      </c>
      <c r="F23" s="67" t="s">
        <v>48</v>
      </c>
      <c r="G23" s="254" t="s">
        <v>49</v>
      </c>
      <c r="H23" s="67" t="s">
        <v>182</v>
      </c>
      <c r="I23" s="67">
        <v>100</v>
      </c>
      <c r="J23" s="67"/>
      <c r="K23" s="108">
        <v>45754</v>
      </c>
      <c r="M23" s="1">
        <v>3.5</v>
      </c>
      <c r="N23" s="139">
        <f t="shared" si="0"/>
        <v>28.571428571428573</v>
      </c>
    </row>
    <row r="24" spans="1:14" x14ac:dyDescent="0.25">
      <c r="A24" s="299"/>
      <c r="B24" s="299"/>
      <c r="C24" s="5" t="s">
        <v>94</v>
      </c>
      <c r="D24" s="1" t="s">
        <v>124</v>
      </c>
      <c r="E24" s="1" t="s">
        <v>63</v>
      </c>
      <c r="F24" s="1" t="s">
        <v>95</v>
      </c>
      <c r="G24" s="137" t="s">
        <v>82</v>
      </c>
      <c r="H24" s="1" t="s">
        <v>183</v>
      </c>
      <c r="I24" s="1">
        <v>30</v>
      </c>
      <c r="J24" s="1"/>
      <c r="K24" s="15">
        <v>45749</v>
      </c>
      <c r="M24" s="135">
        <v>2</v>
      </c>
      <c r="N24" s="139">
        <f t="shared" si="0"/>
        <v>15</v>
      </c>
    </row>
    <row r="25" spans="1:14" x14ac:dyDescent="0.25">
      <c r="A25" s="299"/>
      <c r="B25" s="299"/>
      <c r="C25" s="5" t="s">
        <v>129</v>
      </c>
      <c r="D25" s="1" t="s">
        <v>130</v>
      </c>
      <c r="E25" s="1" t="s">
        <v>63</v>
      </c>
      <c r="F25" s="1" t="s">
        <v>131</v>
      </c>
      <c r="G25" s="73" t="s">
        <v>84</v>
      </c>
      <c r="H25" s="1" t="s">
        <v>182</v>
      </c>
      <c r="I25" s="1">
        <v>780</v>
      </c>
      <c r="J25" s="1"/>
      <c r="K25" s="15">
        <v>45758</v>
      </c>
      <c r="M25" s="1">
        <f>1.5+2+2+1.5+1+1+1</f>
        <v>10</v>
      </c>
      <c r="N25" s="139">
        <f t="shared" si="0"/>
        <v>78</v>
      </c>
    </row>
    <row r="26" spans="1:14" ht="15.75" thickBot="1" x14ac:dyDescent="0.3">
      <c r="A26" s="299"/>
      <c r="B26" s="299"/>
      <c r="C26" s="63" t="s">
        <v>94</v>
      </c>
      <c r="D26" s="220" t="s">
        <v>141</v>
      </c>
      <c r="E26" s="16" t="s">
        <v>63</v>
      </c>
      <c r="F26" s="16" t="s">
        <v>95</v>
      </c>
      <c r="G26" s="253" t="s">
        <v>49</v>
      </c>
      <c r="H26" s="16" t="s">
        <v>183</v>
      </c>
      <c r="I26" s="16">
        <v>35</v>
      </c>
      <c r="J26" s="16"/>
      <c r="K26" s="17">
        <v>45772</v>
      </c>
      <c r="M26" s="135">
        <v>2</v>
      </c>
      <c r="N26" s="139">
        <f t="shared" si="0"/>
        <v>17.5</v>
      </c>
    </row>
    <row r="27" spans="1:14" ht="15.75" thickBot="1" x14ac:dyDescent="0.3">
      <c r="A27" s="300"/>
      <c r="B27" s="300"/>
      <c r="C27" s="5" t="s">
        <v>136</v>
      </c>
      <c r="D27" s="182" t="s">
        <v>137</v>
      </c>
      <c r="E27" s="5" t="s">
        <v>63</v>
      </c>
      <c r="F27" s="5" t="s">
        <v>71</v>
      </c>
      <c r="G27" s="159" t="s">
        <v>312</v>
      </c>
      <c r="H27" s="1" t="s">
        <v>182</v>
      </c>
      <c r="I27" s="1">
        <v>790</v>
      </c>
      <c r="J27" s="1"/>
      <c r="K27" s="15">
        <v>45817</v>
      </c>
      <c r="M27" s="135">
        <f>1+4.5+4+2.5+2+3.5+3+2+2+2+1.5+1</f>
        <v>29</v>
      </c>
      <c r="N27" s="139">
        <f t="shared" si="0"/>
        <v>27.241379310344829</v>
      </c>
    </row>
    <row r="28" spans="1:14" x14ac:dyDescent="0.25">
      <c r="A28" s="298">
        <v>2025</v>
      </c>
      <c r="B28" s="298" t="s">
        <v>156</v>
      </c>
      <c r="C28" s="143" t="s">
        <v>153</v>
      </c>
      <c r="D28" s="221" t="s">
        <v>154</v>
      </c>
      <c r="E28" s="145" t="s">
        <v>63</v>
      </c>
      <c r="F28" s="145" t="s">
        <v>71</v>
      </c>
      <c r="G28" s="144" t="s">
        <v>74</v>
      </c>
      <c r="H28" s="145" t="s">
        <v>182</v>
      </c>
      <c r="I28" s="145">
        <v>100</v>
      </c>
      <c r="J28" s="145"/>
      <c r="K28" s="292">
        <v>45782</v>
      </c>
      <c r="M28" s="135">
        <v>1</v>
      </c>
      <c r="N28" s="139">
        <f t="shared" si="0"/>
        <v>100</v>
      </c>
    </row>
    <row r="29" spans="1:14" ht="15.75" thickBot="1" x14ac:dyDescent="0.3">
      <c r="A29" s="299"/>
      <c r="B29" s="299"/>
      <c r="C29" s="182" t="s">
        <v>160</v>
      </c>
      <c r="D29" s="182" t="s">
        <v>161</v>
      </c>
      <c r="E29" s="5" t="s">
        <v>63</v>
      </c>
      <c r="F29" s="5" t="s">
        <v>71</v>
      </c>
      <c r="G29" s="153" t="s">
        <v>162</v>
      </c>
      <c r="H29" s="1" t="s">
        <v>182</v>
      </c>
      <c r="I29" s="1">
        <v>100</v>
      </c>
      <c r="J29" s="1"/>
      <c r="K29" s="15">
        <v>45778</v>
      </c>
      <c r="M29" s="135">
        <v>0.5</v>
      </c>
      <c r="N29" s="139">
        <f t="shared" si="0"/>
        <v>200</v>
      </c>
    </row>
    <row r="30" spans="1:14" x14ac:dyDescent="0.25">
      <c r="A30" s="299"/>
      <c r="B30" s="299"/>
      <c r="C30" s="5" t="s">
        <v>142</v>
      </c>
      <c r="D30" s="182" t="s">
        <v>143</v>
      </c>
      <c r="E30" s="5" t="s">
        <v>63</v>
      </c>
      <c r="F30" s="5" t="s">
        <v>71</v>
      </c>
      <c r="G30" s="203" t="s">
        <v>172</v>
      </c>
      <c r="H30" s="145" t="s">
        <v>187</v>
      </c>
      <c r="I30" s="1">
        <v>450</v>
      </c>
      <c r="J30" s="1"/>
      <c r="K30" s="15">
        <v>45802</v>
      </c>
      <c r="M30" s="135">
        <f>1+1+0.5+1+1.5+1+2+3+1+2+0.5</f>
        <v>14.5</v>
      </c>
      <c r="N30" s="139">
        <f t="shared" si="0"/>
        <v>31.03448275862069</v>
      </c>
    </row>
    <row r="31" spans="1:14" ht="15.75" thickBot="1" x14ac:dyDescent="0.3">
      <c r="A31" s="299"/>
      <c r="B31" s="299"/>
      <c r="C31" s="63" t="s">
        <v>65</v>
      </c>
      <c r="D31" s="220" t="s">
        <v>166</v>
      </c>
      <c r="E31" s="16" t="s">
        <v>55</v>
      </c>
      <c r="F31" s="16" t="s">
        <v>64</v>
      </c>
      <c r="G31" s="200" t="s">
        <v>167</v>
      </c>
      <c r="H31" s="16" t="s">
        <v>187</v>
      </c>
      <c r="I31" s="16">
        <v>50</v>
      </c>
      <c r="J31" s="16"/>
      <c r="K31" s="17">
        <v>45802</v>
      </c>
      <c r="M31" s="135">
        <v>1</v>
      </c>
      <c r="N31" s="139">
        <f t="shared" si="0"/>
        <v>50</v>
      </c>
    </row>
    <row r="32" spans="1:14" ht="15.75" thickBot="1" x14ac:dyDescent="0.3">
      <c r="A32" s="300"/>
      <c r="B32" s="300"/>
      <c r="C32" s="5" t="s">
        <v>38</v>
      </c>
      <c r="D32" s="219" t="s">
        <v>168</v>
      </c>
      <c r="E32" s="1" t="s">
        <v>63</v>
      </c>
      <c r="F32" s="1" t="s">
        <v>71</v>
      </c>
      <c r="G32" s="252" t="s">
        <v>49</v>
      </c>
      <c r="H32" s="1" t="s">
        <v>183</v>
      </c>
      <c r="I32" s="1">
        <v>40</v>
      </c>
      <c r="J32" s="1"/>
      <c r="K32" s="15">
        <v>45807</v>
      </c>
      <c r="M32" s="135">
        <v>2</v>
      </c>
      <c r="N32" s="139">
        <f t="shared" si="0"/>
        <v>20</v>
      </c>
    </row>
    <row r="33" spans="1:14" ht="15.75" thickBot="1" x14ac:dyDescent="0.3">
      <c r="A33" s="165">
        <v>2025</v>
      </c>
      <c r="B33" s="286" t="s">
        <v>156</v>
      </c>
      <c r="C33" s="5" t="s">
        <v>139</v>
      </c>
      <c r="D33" s="182" t="s">
        <v>140</v>
      </c>
      <c r="E33" s="5" t="s">
        <v>63</v>
      </c>
      <c r="F33" s="5" t="s">
        <v>71</v>
      </c>
      <c r="G33" s="73" t="s">
        <v>312</v>
      </c>
      <c r="H33" s="1" t="s">
        <v>182</v>
      </c>
      <c r="I33" s="1">
        <v>2900</v>
      </c>
      <c r="J33" s="1"/>
      <c r="K33" s="15">
        <v>45848</v>
      </c>
      <c r="M33" s="135">
        <f>1+1+2+1+2.5+1.5+2+4+3+1.5+1+3+3+2+2.5+4+1+(1)</f>
        <v>37</v>
      </c>
      <c r="N33" s="139">
        <f t="shared" si="0"/>
        <v>78.378378378378372</v>
      </c>
    </row>
    <row r="34" spans="1:14" ht="15.75" thickBot="1" x14ac:dyDescent="0.3">
      <c r="A34" s="165">
        <v>2025</v>
      </c>
      <c r="B34" s="287" t="s">
        <v>292</v>
      </c>
      <c r="C34" s="259" t="s">
        <v>291</v>
      </c>
      <c r="D34" s="296" t="s">
        <v>170</v>
      </c>
      <c r="E34" s="260" t="s">
        <v>63</v>
      </c>
      <c r="F34" s="260" t="s">
        <v>171</v>
      </c>
      <c r="G34" s="261" t="s">
        <v>172</v>
      </c>
      <c r="H34" s="260" t="s">
        <v>188</v>
      </c>
      <c r="I34" s="260">
        <v>580</v>
      </c>
      <c r="J34" s="260"/>
      <c r="K34" s="262">
        <v>45879</v>
      </c>
      <c r="M34" s="135">
        <f>2.5+1.5+0.5+2.5+1.5+1.5+1.5+2</f>
        <v>13.5</v>
      </c>
      <c r="N34" s="139">
        <f t="shared" si="0"/>
        <v>42.962962962962962</v>
      </c>
    </row>
    <row r="35" spans="1:14" ht="15.75" thickBot="1" x14ac:dyDescent="0.3">
      <c r="A35" s="165">
        <v>2025</v>
      </c>
      <c r="B35" s="288" t="s">
        <v>195</v>
      </c>
      <c r="C35" s="260" t="s">
        <v>174</v>
      </c>
      <c r="D35" s="296" t="s">
        <v>175</v>
      </c>
      <c r="E35" s="260" t="s">
        <v>55</v>
      </c>
      <c r="F35" s="260" t="s">
        <v>71</v>
      </c>
      <c r="G35" s="263" t="s">
        <v>176</v>
      </c>
      <c r="H35" s="260" t="s">
        <v>177</v>
      </c>
      <c r="I35" s="260">
        <v>680</v>
      </c>
      <c r="J35" s="260">
        <v>750</v>
      </c>
      <c r="K35" s="262">
        <v>45913</v>
      </c>
      <c r="M35" s="145">
        <f>1.5+2+2+4.5+1</f>
        <v>11</v>
      </c>
      <c r="N35" s="140">
        <f t="shared" si="0"/>
        <v>61.81818181818182</v>
      </c>
    </row>
    <row r="36" spans="1:14" x14ac:dyDescent="0.25">
      <c r="A36" s="328">
        <v>2025</v>
      </c>
      <c r="B36" s="328" t="s">
        <v>293</v>
      </c>
      <c r="C36" s="69" t="s">
        <v>153</v>
      </c>
      <c r="D36" s="67" t="s">
        <v>213</v>
      </c>
      <c r="E36" s="67" t="s">
        <v>63</v>
      </c>
      <c r="F36" s="67" t="s">
        <v>71</v>
      </c>
      <c r="G36" s="180" t="s">
        <v>74</v>
      </c>
      <c r="H36" s="67" t="s">
        <v>182</v>
      </c>
      <c r="I36" s="67">
        <v>150</v>
      </c>
      <c r="J36" s="67"/>
      <c r="K36" s="108">
        <v>45910</v>
      </c>
      <c r="M36" s="135">
        <v>1</v>
      </c>
      <c r="N36" s="139">
        <f t="shared" si="0"/>
        <v>150</v>
      </c>
    </row>
    <row r="37" spans="1:14" ht="15.75" thickBot="1" x14ac:dyDescent="0.3">
      <c r="A37" s="329"/>
      <c r="B37" s="329"/>
      <c r="C37" s="63" t="s">
        <v>214</v>
      </c>
      <c r="D37" s="16" t="s">
        <v>215</v>
      </c>
      <c r="E37" s="16" t="s">
        <v>55</v>
      </c>
      <c r="F37" s="16" t="s">
        <v>71</v>
      </c>
      <c r="G37" s="136" t="s">
        <v>76</v>
      </c>
      <c r="H37" s="16" t="s">
        <v>183</v>
      </c>
      <c r="I37" s="16">
        <v>80</v>
      </c>
      <c r="J37" s="16"/>
      <c r="K37" s="17">
        <v>45920</v>
      </c>
      <c r="M37" s="135">
        <v>2</v>
      </c>
      <c r="N37" s="139">
        <f t="shared" si="0"/>
        <v>40</v>
      </c>
    </row>
    <row r="38" spans="1:14" x14ac:dyDescent="0.25">
      <c r="A38" s="330">
        <v>2025</v>
      </c>
      <c r="B38" s="330" t="s">
        <v>217</v>
      </c>
      <c r="C38" s="67" t="s">
        <v>222</v>
      </c>
      <c r="D38" s="67" t="s">
        <v>248</v>
      </c>
      <c r="E38" s="67" t="s">
        <v>223</v>
      </c>
      <c r="F38" s="67" t="s">
        <v>224</v>
      </c>
      <c r="G38" s="264" t="s">
        <v>225</v>
      </c>
      <c r="H38" s="67" t="s">
        <v>183</v>
      </c>
      <c r="I38" s="67">
        <f>49.59+157.02</f>
        <v>206.61</v>
      </c>
      <c r="J38" s="67"/>
      <c r="K38" s="108">
        <v>45946</v>
      </c>
      <c r="M38" s="1">
        <v>7.5</v>
      </c>
      <c r="N38" s="139">
        <f t="shared" si="0"/>
        <v>27.548000000000002</v>
      </c>
    </row>
    <row r="39" spans="1:14" x14ac:dyDescent="0.25">
      <c r="A39" s="331"/>
      <c r="B39" s="331"/>
      <c r="C39" s="1" t="s">
        <v>222</v>
      </c>
      <c r="D39" s="1" t="s">
        <v>226</v>
      </c>
      <c r="E39" s="1" t="s">
        <v>230</v>
      </c>
      <c r="F39" s="1" t="s">
        <v>224</v>
      </c>
      <c r="G39" s="233" t="s">
        <v>225</v>
      </c>
      <c r="H39" s="1" t="s">
        <v>183</v>
      </c>
      <c r="I39" s="1">
        <v>190.09</v>
      </c>
      <c r="J39" s="1"/>
      <c r="K39" s="15">
        <v>45947</v>
      </c>
      <c r="M39" s="1">
        <v>5.5</v>
      </c>
      <c r="N39" s="139">
        <f t="shared" si="0"/>
        <v>34.561818181818182</v>
      </c>
    </row>
    <row r="40" spans="1:14" x14ac:dyDescent="0.25">
      <c r="A40" s="331"/>
      <c r="B40" s="331"/>
      <c r="C40" s="1" t="s">
        <v>221</v>
      </c>
      <c r="D40" s="1" t="s">
        <v>298</v>
      </c>
      <c r="E40" s="1" t="s">
        <v>55</v>
      </c>
      <c r="F40" s="1" t="s">
        <v>71</v>
      </c>
      <c r="G40" s="74" t="s">
        <v>227</v>
      </c>
      <c r="H40" s="1" t="s">
        <v>187</v>
      </c>
      <c r="I40" s="139">
        <v>100</v>
      </c>
      <c r="J40" s="1"/>
      <c r="K40" s="15">
        <v>45950</v>
      </c>
      <c r="M40" s="1">
        <v>3</v>
      </c>
      <c r="N40" s="139">
        <f t="shared" si="0"/>
        <v>33.333333333333336</v>
      </c>
    </row>
    <row r="41" spans="1:14" x14ac:dyDescent="0.25">
      <c r="A41" s="331"/>
      <c r="B41" s="331"/>
      <c r="C41" s="1" t="s">
        <v>221</v>
      </c>
      <c r="D41" s="1" t="s">
        <v>299</v>
      </c>
      <c r="E41" s="1" t="s">
        <v>55</v>
      </c>
      <c r="F41" s="1" t="s">
        <v>71</v>
      </c>
      <c r="G41" s="137" t="s">
        <v>82</v>
      </c>
      <c r="H41" s="1" t="s">
        <v>187</v>
      </c>
      <c r="I41" s="139">
        <v>150</v>
      </c>
      <c r="J41" s="1"/>
      <c r="K41" s="15">
        <v>45950</v>
      </c>
      <c r="M41" s="135">
        <v>4</v>
      </c>
      <c r="N41" s="139">
        <f t="shared" si="0"/>
        <v>37.5</v>
      </c>
    </row>
    <row r="42" spans="1:14" x14ac:dyDescent="0.25">
      <c r="A42" s="331"/>
      <c r="B42" s="331"/>
      <c r="C42" s="1" t="s">
        <v>228</v>
      </c>
      <c r="D42" s="1" t="s">
        <v>229</v>
      </c>
      <c r="E42" s="1" t="s">
        <v>55</v>
      </c>
      <c r="F42" s="1" t="s">
        <v>71</v>
      </c>
      <c r="G42" s="73" t="s">
        <v>231</v>
      </c>
      <c r="H42" s="1" t="s">
        <v>242</v>
      </c>
      <c r="I42" s="1">
        <v>300</v>
      </c>
      <c r="J42" s="1"/>
      <c r="K42" s="15">
        <v>45962</v>
      </c>
      <c r="M42" s="1">
        <f>1+1+2.5</f>
        <v>4.5</v>
      </c>
      <c r="N42" s="139">
        <f t="shared" si="0"/>
        <v>66.666666666666671</v>
      </c>
    </row>
    <row r="43" spans="1:14" x14ac:dyDescent="0.25">
      <c r="A43" s="331"/>
      <c r="B43" s="331"/>
      <c r="C43" s="1" t="s">
        <v>245</v>
      </c>
      <c r="D43" s="1" t="s">
        <v>220</v>
      </c>
      <c r="E43" s="1" t="s">
        <v>55</v>
      </c>
      <c r="F43" s="1" t="s">
        <v>71</v>
      </c>
      <c r="G43" s="74" t="s">
        <v>227</v>
      </c>
      <c r="H43" s="1" t="s">
        <v>187</v>
      </c>
      <c r="I43" s="139">
        <v>200</v>
      </c>
      <c r="J43" s="1"/>
      <c r="K43" s="15">
        <v>45960</v>
      </c>
      <c r="L43" s="5"/>
      <c r="M43" s="1">
        <f>1+1+1+1+1</f>
        <v>5</v>
      </c>
      <c r="N43" s="139">
        <f t="shared" si="0"/>
        <v>40</v>
      </c>
    </row>
    <row r="44" spans="1:14" ht="15.75" thickBot="1" x14ac:dyDescent="0.3">
      <c r="A44" s="332"/>
      <c r="B44" s="332"/>
      <c r="C44" s="16" t="s">
        <v>218</v>
      </c>
      <c r="D44" s="16" t="s">
        <v>219</v>
      </c>
      <c r="E44" s="16" t="s">
        <v>55</v>
      </c>
      <c r="F44" s="16" t="s">
        <v>71</v>
      </c>
      <c r="G44" s="265" t="s">
        <v>176</v>
      </c>
      <c r="H44" s="16" t="s">
        <v>183</v>
      </c>
      <c r="I44" s="266">
        <v>350</v>
      </c>
      <c r="J44" s="16"/>
      <c r="K44" s="17">
        <v>45964</v>
      </c>
      <c r="L44" s="5"/>
      <c r="M44" s="1">
        <f>1+1+2+3+0.5+0.5</f>
        <v>8</v>
      </c>
      <c r="N44" s="139">
        <f t="shared" si="0"/>
        <v>43.75</v>
      </c>
    </row>
    <row r="45" spans="1:14" x14ac:dyDescent="0.25">
      <c r="A45" s="333">
        <v>2025</v>
      </c>
      <c r="B45" s="333" t="s">
        <v>249</v>
      </c>
      <c r="C45" s="281" t="s">
        <v>222</v>
      </c>
      <c r="D45" s="281" t="s">
        <v>247</v>
      </c>
      <c r="E45" s="281" t="s">
        <v>223</v>
      </c>
      <c r="F45" s="281" t="s">
        <v>224</v>
      </c>
      <c r="G45" s="264" t="s">
        <v>225</v>
      </c>
      <c r="H45" s="1" t="s">
        <v>183</v>
      </c>
      <c r="I45" s="67">
        <f>49.59+157.02</f>
        <v>206.61</v>
      </c>
      <c r="J45" s="67"/>
      <c r="K45" s="108">
        <v>45968</v>
      </c>
      <c r="M45" s="1">
        <v>6.5</v>
      </c>
      <c r="N45" s="139">
        <f t="shared" si="0"/>
        <v>31.786153846153848</v>
      </c>
    </row>
    <row r="46" spans="1:14" x14ac:dyDescent="0.25">
      <c r="A46" s="334"/>
      <c r="B46" s="334"/>
      <c r="C46" s="282" t="s">
        <v>222</v>
      </c>
      <c r="D46" s="282" t="s">
        <v>250</v>
      </c>
      <c r="E46" s="282" t="s">
        <v>251</v>
      </c>
      <c r="F46" s="282" t="s">
        <v>224</v>
      </c>
      <c r="G46" s="233" t="s">
        <v>225</v>
      </c>
      <c r="H46" s="1" t="s">
        <v>183</v>
      </c>
      <c r="I46" s="1">
        <v>173.56</v>
      </c>
      <c r="J46" s="1"/>
      <c r="K46" s="15">
        <v>45971</v>
      </c>
      <c r="M46" s="1">
        <v>4</v>
      </c>
      <c r="N46" s="139">
        <f t="shared" si="0"/>
        <v>43.39</v>
      </c>
    </row>
    <row r="47" spans="1:14" x14ac:dyDescent="0.25">
      <c r="A47" s="334"/>
      <c r="B47" s="334"/>
      <c r="C47" s="282" t="s">
        <v>222</v>
      </c>
      <c r="D47" s="282" t="s">
        <v>230</v>
      </c>
      <c r="E47" s="282" t="s">
        <v>258</v>
      </c>
      <c r="F47" s="282" t="s">
        <v>224</v>
      </c>
      <c r="G47" s="233" t="s">
        <v>225</v>
      </c>
      <c r="H47" s="1" t="s">
        <v>183</v>
      </c>
      <c r="I47" s="1">
        <v>190.09</v>
      </c>
      <c r="J47" s="1"/>
      <c r="K47" s="15">
        <v>45972</v>
      </c>
      <c r="M47" s="1">
        <v>4.5</v>
      </c>
      <c r="N47" s="139">
        <f t="shared" si="0"/>
        <v>42.242222222222225</v>
      </c>
    </row>
    <row r="48" spans="1:14" x14ac:dyDescent="0.25">
      <c r="A48" s="334"/>
      <c r="B48" s="334"/>
      <c r="C48" s="282" t="s">
        <v>222</v>
      </c>
      <c r="D48" s="282" t="s">
        <v>263</v>
      </c>
      <c r="E48" s="282" t="s">
        <v>223</v>
      </c>
      <c r="F48" s="282" t="s">
        <v>224</v>
      </c>
      <c r="G48" s="233" t="s">
        <v>225</v>
      </c>
      <c r="H48" s="1" t="s">
        <v>183</v>
      </c>
      <c r="I48" s="1">
        <v>206.61</v>
      </c>
      <c r="J48" s="1"/>
      <c r="K48" s="15">
        <v>45974</v>
      </c>
      <c r="M48" s="1">
        <v>6.5</v>
      </c>
      <c r="N48" s="139">
        <f t="shared" si="0"/>
        <v>31.786153846153848</v>
      </c>
    </row>
    <row r="49" spans="1:14" x14ac:dyDescent="0.25">
      <c r="A49" s="334"/>
      <c r="B49" s="334"/>
      <c r="C49" s="282" t="s">
        <v>38</v>
      </c>
      <c r="D49" s="282" t="s">
        <v>265</v>
      </c>
      <c r="E49" s="282" t="s">
        <v>55</v>
      </c>
      <c r="F49" s="282" t="s">
        <v>224</v>
      </c>
      <c r="G49" s="255" t="s">
        <v>265</v>
      </c>
      <c r="H49" s="1" t="s">
        <v>183</v>
      </c>
      <c r="I49" s="1">
        <v>40</v>
      </c>
      <c r="J49" s="1"/>
      <c r="K49" s="15">
        <v>45976</v>
      </c>
      <c r="L49" s="5"/>
      <c r="M49" s="1">
        <v>3</v>
      </c>
      <c r="N49" s="139">
        <f t="shared" si="0"/>
        <v>13.333333333333334</v>
      </c>
    </row>
    <row r="50" spans="1:14" x14ac:dyDescent="0.25">
      <c r="A50" s="334"/>
      <c r="B50" s="334"/>
      <c r="C50" s="282" t="s">
        <v>222</v>
      </c>
      <c r="D50" s="282" t="s">
        <v>266</v>
      </c>
      <c r="E50" s="282" t="s">
        <v>223</v>
      </c>
      <c r="F50" s="282" t="s">
        <v>224</v>
      </c>
      <c r="G50" s="233" t="s">
        <v>225</v>
      </c>
      <c r="H50" s="1" t="s">
        <v>183</v>
      </c>
      <c r="I50" s="1">
        <v>206.61</v>
      </c>
      <c r="J50" s="1"/>
      <c r="K50" s="15">
        <v>45981</v>
      </c>
      <c r="M50" s="1">
        <v>6</v>
      </c>
      <c r="N50" s="139">
        <f t="shared" si="0"/>
        <v>34.435000000000002</v>
      </c>
    </row>
    <row r="51" spans="1:14" x14ac:dyDescent="0.25">
      <c r="A51" s="334"/>
      <c r="B51" s="334"/>
      <c r="C51" s="282" t="s">
        <v>222</v>
      </c>
      <c r="D51" s="282" t="s">
        <v>267</v>
      </c>
      <c r="E51" s="282" t="s">
        <v>268</v>
      </c>
      <c r="F51" s="282" t="s">
        <v>224</v>
      </c>
      <c r="G51" s="233" t="s">
        <v>225</v>
      </c>
      <c r="H51" s="1" t="s">
        <v>183</v>
      </c>
      <c r="I51" s="139">
        <v>190.09</v>
      </c>
      <c r="J51" s="1"/>
      <c r="K51" s="267">
        <v>45987</v>
      </c>
      <c r="L51" s="5"/>
      <c r="M51" s="1">
        <v>6</v>
      </c>
      <c r="N51" s="139">
        <f t="shared" si="0"/>
        <v>31.681666666666668</v>
      </c>
    </row>
    <row r="52" spans="1:14" ht="15.75" thickBot="1" x14ac:dyDescent="0.3">
      <c r="A52" s="334"/>
      <c r="B52" s="334"/>
      <c r="C52" s="283" t="s">
        <v>255</v>
      </c>
      <c r="D52" s="283" t="s">
        <v>254</v>
      </c>
      <c r="E52" s="283" t="s">
        <v>55</v>
      </c>
      <c r="F52" s="283" t="s">
        <v>224</v>
      </c>
      <c r="G52" s="159" t="s">
        <v>84</v>
      </c>
      <c r="H52" s="81" t="s">
        <v>182</v>
      </c>
      <c r="I52" s="81">
        <v>1300</v>
      </c>
      <c r="J52" s="81"/>
      <c r="K52" s="274">
        <v>45992</v>
      </c>
      <c r="L52" s="5"/>
      <c r="M52" s="1">
        <v>10</v>
      </c>
      <c r="N52" s="139">
        <f t="shared" si="0"/>
        <v>130</v>
      </c>
    </row>
    <row r="53" spans="1:14" x14ac:dyDescent="0.25">
      <c r="A53" s="285">
        <v>2025</v>
      </c>
      <c r="B53" s="289" t="s">
        <v>279</v>
      </c>
      <c r="C53" s="281" t="s">
        <v>280</v>
      </c>
      <c r="D53" s="281" t="s">
        <v>281</v>
      </c>
      <c r="E53" s="281" t="s">
        <v>55</v>
      </c>
      <c r="F53" s="281" t="s">
        <v>71</v>
      </c>
      <c r="G53" s="275" t="s">
        <v>282</v>
      </c>
      <c r="H53" s="67" t="s">
        <v>283</v>
      </c>
      <c r="I53" s="276">
        <v>90</v>
      </c>
      <c r="J53" s="67"/>
      <c r="K53" s="108">
        <v>45993</v>
      </c>
      <c r="L53" s="5"/>
      <c r="M53" s="1">
        <v>2</v>
      </c>
      <c r="N53" s="135">
        <f t="shared" si="0"/>
        <v>45</v>
      </c>
    </row>
    <row r="54" spans="1:14" x14ac:dyDescent="0.25">
      <c r="A54" s="285">
        <v>2025</v>
      </c>
      <c r="B54" s="290" t="s">
        <v>279</v>
      </c>
      <c r="C54" s="282" t="s">
        <v>222</v>
      </c>
      <c r="D54" s="282" t="s">
        <v>288</v>
      </c>
      <c r="E54" s="282" t="s">
        <v>268</v>
      </c>
      <c r="F54" s="282" t="s">
        <v>224</v>
      </c>
      <c r="G54" s="233" t="s">
        <v>225</v>
      </c>
      <c r="H54" s="1" t="s">
        <v>183</v>
      </c>
      <c r="I54" s="139">
        <v>206.61</v>
      </c>
      <c r="J54" s="1"/>
      <c r="K54" s="267">
        <v>46006</v>
      </c>
      <c r="L54" s="5"/>
      <c r="M54" s="1">
        <v>4.5</v>
      </c>
      <c r="N54" s="139">
        <f t="shared" si="0"/>
        <v>45.913333333333334</v>
      </c>
    </row>
    <row r="55" spans="1:14" x14ac:dyDescent="0.25">
      <c r="A55" s="285">
        <v>2025</v>
      </c>
      <c r="B55" s="290" t="s">
        <v>279</v>
      </c>
      <c r="C55" s="282" t="s">
        <v>222</v>
      </c>
      <c r="D55" s="282" t="s">
        <v>289</v>
      </c>
      <c r="E55" s="282" t="s">
        <v>268</v>
      </c>
      <c r="F55" s="282" t="s">
        <v>224</v>
      </c>
      <c r="G55" s="233" t="s">
        <v>225</v>
      </c>
      <c r="H55" s="1" t="s">
        <v>183</v>
      </c>
      <c r="I55" s="139">
        <v>190.09</v>
      </c>
      <c r="J55" s="1"/>
      <c r="K55" s="267">
        <v>46007</v>
      </c>
      <c r="M55" s="1">
        <v>5.5</v>
      </c>
      <c r="N55" s="139">
        <f t="shared" si="0"/>
        <v>34.561818181818182</v>
      </c>
    </row>
    <row r="56" spans="1:14" ht="15.75" thickBot="1" x14ac:dyDescent="0.3">
      <c r="A56" s="285">
        <v>2025</v>
      </c>
      <c r="B56" s="291" t="s">
        <v>279</v>
      </c>
      <c r="C56" s="284" t="s">
        <v>222</v>
      </c>
      <c r="D56" s="284" t="s">
        <v>290</v>
      </c>
      <c r="E56" s="284" t="s">
        <v>268</v>
      </c>
      <c r="F56" s="284" t="s">
        <v>224</v>
      </c>
      <c r="G56" s="271" t="s">
        <v>225</v>
      </c>
      <c r="H56" s="1" t="s">
        <v>183</v>
      </c>
      <c r="I56" s="272">
        <v>223.14</v>
      </c>
      <c r="J56" s="16"/>
      <c r="K56" s="268">
        <v>46008</v>
      </c>
      <c r="M56" s="1">
        <v>4.5</v>
      </c>
      <c r="N56" s="139">
        <f t="shared" si="0"/>
        <v>49.586666666666666</v>
      </c>
    </row>
  </sheetData>
  <mergeCells count="18">
    <mergeCell ref="A36:A37"/>
    <mergeCell ref="A38:A44"/>
    <mergeCell ref="A45:A52"/>
    <mergeCell ref="A3:K3"/>
    <mergeCell ref="A5:A8"/>
    <mergeCell ref="A9:A14"/>
    <mergeCell ref="A15:A22"/>
    <mergeCell ref="A23:A27"/>
    <mergeCell ref="A28:A32"/>
    <mergeCell ref="B45:B52"/>
    <mergeCell ref="B38:B44"/>
    <mergeCell ref="B36:B37"/>
    <mergeCell ref="B28:B32"/>
    <mergeCell ref="M3:N3"/>
    <mergeCell ref="B9:B14"/>
    <mergeCell ref="B5:B8"/>
    <mergeCell ref="B23:B27"/>
    <mergeCell ref="B15:B22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56"/>
  <sheetViews>
    <sheetView zoomScale="60" zoomScaleNormal="60" workbookViewId="0">
      <selection activeCell="AB12" sqref="AB12"/>
    </sheetView>
  </sheetViews>
  <sheetFormatPr baseColWidth="10" defaultRowHeight="15" x14ac:dyDescent="0.25"/>
  <cols>
    <col min="1" max="1" width="23.7109375" customWidth="1"/>
    <col min="2" max="2" width="53.28515625" customWidth="1"/>
    <col min="3" max="3" width="17.7109375" customWidth="1"/>
    <col min="4" max="4" width="22" customWidth="1"/>
    <col min="5" max="5" width="37.28515625" customWidth="1"/>
    <col min="6" max="6" width="11.42578125" customWidth="1"/>
    <col min="7" max="7" width="13.85546875" customWidth="1"/>
    <col min="8" max="8" width="0" hidden="1" customWidth="1"/>
    <col min="9" max="9" width="16.5703125" customWidth="1"/>
    <col min="10" max="10" width="11.28515625" customWidth="1"/>
    <col min="11" max="11" width="10.28515625" customWidth="1"/>
    <col min="12" max="14" width="9.140625" customWidth="1"/>
    <col min="15" max="15" width="12.5703125" customWidth="1"/>
    <col min="16" max="19" width="9.28515625" customWidth="1"/>
    <col min="20" max="20" width="12" customWidth="1"/>
    <col min="21" max="21" width="9.28515625" customWidth="1"/>
    <col min="22" max="23" width="16.140625" customWidth="1"/>
    <col min="24" max="24" width="10.5703125" customWidth="1"/>
    <col min="25" max="25" width="20.42578125" customWidth="1"/>
    <col min="26" max="26" width="15.85546875" customWidth="1"/>
  </cols>
  <sheetData>
    <row r="1" spans="1:26" ht="15.75" thickBot="1" x14ac:dyDescent="0.3">
      <c r="A1" s="337" t="s">
        <v>79</v>
      </c>
      <c r="B1" s="338"/>
      <c r="C1" s="338"/>
      <c r="D1" s="338"/>
      <c r="E1" s="338"/>
      <c r="F1" s="338"/>
      <c r="G1" s="338"/>
      <c r="H1" s="338"/>
      <c r="I1" s="338"/>
      <c r="J1" s="339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40"/>
    </row>
    <row r="2" spans="1:26" ht="15.75" thickBot="1" x14ac:dyDescent="0.3">
      <c r="A2" s="141" t="s">
        <v>37</v>
      </c>
      <c r="B2" s="142" t="s">
        <v>52</v>
      </c>
      <c r="C2" s="142" t="s">
        <v>54</v>
      </c>
      <c r="D2" s="142" t="s">
        <v>47</v>
      </c>
      <c r="E2" s="142" t="s">
        <v>41</v>
      </c>
      <c r="F2" s="142" t="s">
        <v>39</v>
      </c>
      <c r="G2" s="142" t="s">
        <v>40</v>
      </c>
      <c r="H2" s="142" t="s">
        <v>18</v>
      </c>
      <c r="I2" s="181" t="s">
        <v>43</v>
      </c>
      <c r="J2" s="211" t="s">
        <v>157</v>
      </c>
      <c r="K2" s="188" t="s">
        <v>157</v>
      </c>
      <c r="L2" s="142" t="s">
        <v>163</v>
      </c>
      <c r="M2" s="181" t="s">
        <v>194</v>
      </c>
      <c r="N2" s="191" t="s">
        <v>165</v>
      </c>
      <c r="O2" s="211" t="s">
        <v>158</v>
      </c>
      <c r="P2" s="188" t="s">
        <v>158</v>
      </c>
      <c r="Q2" s="142" t="s">
        <v>163</v>
      </c>
      <c r="R2" s="181" t="s">
        <v>194</v>
      </c>
      <c r="S2" s="142" t="s">
        <v>165</v>
      </c>
      <c r="T2" s="211" t="s">
        <v>159</v>
      </c>
      <c r="U2" s="142" t="s">
        <v>159</v>
      </c>
      <c r="V2" s="142" t="s">
        <v>163</v>
      </c>
      <c r="W2" s="181" t="s">
        <v>194</v>
      </c>
      <c r="X2" s="142" t="s">
        <v>165</v>
      </c>
      <c r="Y2" s="181" t="s">
        <v>50</v>
      </c>
      <c r="Z2" s="176" t="s">
        <v>12</v>
      </c>
    </row>
    <row r="3" spans="1:26" x14ac:dyDescent="0.25">
      <c r="A3" s="69" t="s">
        <v>38</v>
      </c>
      <c r="B3" s="218" t="s">
        <v>62</v>
      </c>
      <c r="C3" s="67" t="s">
        <v>63</v>
      </c>
      <c r="D3" s="67" t="s">
        <v>64</v>
      </c>
      <c r="E3" s="254" t="s">
        <v>49</v>
      </c>
      <c r="F3" s="67">
        <v>40</v>
      </c>
      <c r="G3" s="67"/>
      <c r="H3" s="67" t="s">
        <v>42</v>
      </c>
      <c r="I3" s="184">
        <v>45678</v>
      </c>
      <c r="J3" s="212">
        <v>40</v>
      </c>
      <c r="K3" s="69"/>
      <c r="L3" s="67"/>
      <c r="M3" s="70"/>
      <c r="N3" s="68"/>
      <c r="O3" s="212"/>
      <c r="P3" s="66"/>
      <c r="Q3" s="67"/>
      <c r="R3" s="70"/>
      <c r="S3" s="68"/>
      <c r="T3" s="212"/>
      <c r="U3" s="198"/>
      <c r="V3" s="67"/>
      <c r="W3" s="70"/>
      <c r="X3" s="68"/>
      <c r="Y3" s="213">
        <f>J3+K3+O3+T3+P3+U3</f>
        <v>40</v>
      </c>
      <c r="Z3" s="145">
        <f>F3-Y3</f>
        <v>0</v>
      </c>
    </row>
    <row r="4" spans="1:26" x14ac:dyDescent="0.25">
      <c r="A4" s="5" t="s">
        <v>56</v>
      </c>
      <c r="B4" s="219" t="s">
        <v>59</v>
      </c>
      <c r="C4" s="1" t="s">
        <v>61</v>
      </c>
      <c r="D4" s="1" t="s">
        <v>48</v>
      </c>
      <c r="E4" s="73" t="s">
        <v>60</v>
      </c>
      <c r="F4" s="1">
        <v>500</v>
      </c>
      <c r="G4" s="1"/>
      <c r="H4" s="1" t="s">
        <v>42</v>
      </c>
      <c r="I4" s="185">
        <v>45677</v>
      </c>
      <c r="J4" s="212">
        <v>500</v>
      </c>
      <c r="K4" s="5"/>
      <c r="L4" s="1"/>
      <c r="M4" s="4"/>
      <c r="N4" s="58"/>
      <c r="O4" s="212"/>
      <c r="P4" s="10"/>
      <c r="Q4" s="1"/>
      <c r="R4" s="4"/>
      <c r="S4" s="58"/>
      <c r="T4" s="212"/>
      <c r="U4" s="199"/>
      <c r="V4" s="1"/>
      <c r="W4" s="4"/>
      <c r="X4" s="58"/>
      <c r="Y4" s="213">
        <f t="shared" ref="Y4:Y32" si="0">J4+K4+O4+T4+P4+U4</f>
        <v>500</v>
      </c>
      <c r="Z4" s="145">
        <f>F4-Y4</f>
        <v>0</v>
      </c>
    </row>
    <row r="5" spans="1:26" x14ac:dyDescent="0.25">
      <c r="A5" s="5" t="s">
        <v>56</v>
      </c>
      <c r="B5" s="219" t="s">
        <v>45</v>
      </c>
      <c r="C5" s="1" t="s">
        <v>57</v>
      </c>
      <c r="D5" s="1" t="s">
        <v>48</v>
      </c>
      <c r="E5" s="74" t="s">
        <v>58</v>
      </c>
      <c r="F5" s="175" t="s">
        <v>66</v>
      </c>
      <c r="G5" s="175"/>
      <c r="H5" s="175"/>
      <c r="I5" s="160"/>
      <c r="J5" s="212"/>
      <c r="K5" s="189"/>
      <c r="L5" s="175"/>
      <c r="M5" s="160"/>
      <c r="N5" s="193"/>
      <c r="O5" s="212"/>
      <c r="P5" s="192"/>
      <c r="Q5" s="175"/>
      <c r="R5" s="160"/>
      <c r="S5" s="193"/>
      <c r="T5" s="212"/>
      <c r="U5" s="189"/>
      <c r="V5" s="175"/>
      <c r="W5" s="160"/>
      <c r="X5" s="193"/>
      <c r="Y5" s="193">
        <f t="shared" si="0"/>
        <v>0</v>
      </c>
      <c r="Z5" s="193"/>
    </row>
    <row r="6" spans="1:26" ht="15.75" thickBot="1" x14ac:dyDescent="0.3">
      <c r="A6" s="63" t="s">
        <v>65</v>
      </c>
      <c r="B6" s="220" t="s">
        <v>67</v>
      </c>
      <c r="C6" s="16" t="s">
        <v>55</v>
      </c>
      <c r="D6" s="16" t="s">
        <v>64</v>
      </c>
      <c r="E6" s="253" t="s">
        <v>49</v>
      </c>
      <c r="F6" s="179" t="s">
        <v>66</v>
      </c>
      <c r="G6" s="179"/>
      <c r="H6" s="179"/>
      <c r="I6" s="161"/>
      <c r="J6" s="212"/>
      <c r="K6" s="190"/>
      <c r="L6" s="179"/>
      <c r="M6" s="161"/>
      <c r="N6" s="195"/>
      <c r="O6" s="212"/>
      <c r="P6" s="194"/>
      <c r="Q6" s="179"/>
      <c r="R6" s="161"/>
      <c r="S6" s="195"/>
      <c r="T6" s="212"/>
      <c r="U6" s="190"/>
      <c r="V6" s="179"/>
      <c r="W6" s="161"/>
      <c r="X6" s="195"/>
      <c r="Y6" s="193">
        <f t="shared" si="0"/>
        <v>0</v>
      </c>
      <c r="Z6" s="193"/>
    </row>
    <row r="7" spans="1:26" x14ac:dyDescent="0.25">
      <c r="A7" s="69" t="s">
        <v>56</v>
      </c>
      <c r="B7" s="218" t="s">
        <v>73</v>
      </c>
      <c r="C7" s="67" t="s">
        <v>57</v>
      </c>
      <c r="D7" s="67" t="s">
        <v>48</v>
      </c>
      <c r="E7" s="180" t="s">
        <v>74</v>
      </c>
      <c r="F7" s="67">
        <v>200</v>
      </c>
      <c r="G7" s="67"/>
      <c r="H7" s="67" t="s">
        <v>42</v>
      </c>
      <c r="I7" s="184">
        <v>45695</v>
      </c>
      <c r="J7" s="212">
        <v>200</v>
      </c>
      <c r="K7" s="69"/>
      <c r="L7" s="67"/>
      <c r="M7" s="70"/>
      <c r="N7" s="68"/>
      <c r="O7" s="212"/>
      <c r="P7" s="66"/>
      <c r="Q7" s="67"/>
      <c r="R7" s="70"/>
      <c r="S7" s="68"/>
      <c r="T7" s="212"/>
      <c r="U7" s="69"/>
      <c r="V7" s="67"/>
      <c r="W7" s="70"/>
      <c r="X7" s="68"/>
      <c r="Y7" s="213">
        <f t="shared" si="0"/>
        <v>200</v>
      </c>
      <c r="Z7" s="145">
        <f t="shared" ref="Z7:Z49" si="1">F7-Y7</f>
        <v>0</v>
      </c>
    </row>
    <row r="8" spans="1:26" x14ac:dyDescent="0.25">
      <c r="A8" s="5" t="s">
        <v>72</v>
      </c>
      <c r="B8" s="219" t="s">
        <v>70</v>
      </c>
      <c r="C8" s="1" t="s">
        <v>55</v>
      </c>
      <c r="D8" s="1" t="s">
        <v>71</v>
      </c>
      <c r="E8" s="74" t="s">
        <v>58</v>
      </c>
      <c r="F8" s="1">
        <v>150</v>
      </c>
      <c r="G8" s="1"/>
      <c r="H8" s="1" t="s">
        <v>42</v>
      </c>
      <c r="I8" s="183">
        <v>45698</v>
      </c>
      <c r="J8" s="212">
        <v>150</v>
      </c>
      <c r="K8" s="5"/>
      <c r="L8" s="1"/>
      <c r="M8" s="4"/>
      <c r="N8" s="58"/>
      <c r="O8" s="212"/>
      <c r="P8" s="10"/>
      <c r="Q8" s="1"/>
      <c r="R8" s="4"/>
      <c r="S8" s="58"/>
      <c r="T8" s="212"/>
      <c r="U8" s="199"/>
      <c r="V8" s="1"/>
      <c r="W8" s="4"/>
      <c r="X8" s="58"/>
      <c r="Y8" s="213">
        <f t="shared" si="0"/>
        <v>150</v>
      </c>
      <c r="Z8" s="145">
        <f t="shared" si="1"/>
        <v>0</v>
      </c>
    </row>
    <row r="9" spans="1:26" x14ac:dyDescent="0.25">
      <c r="A9" s="5" t="s">
        <v>72</v>
      </c>
      <c r="B9" s="219" t="s">
        <v>70</v>
      </c>
      <c r="C9" s="1" t="s">
        <v>55</v>
      </c>
      <c r="D9" s="1" t="s">
        <v>71</v>
      </c>
      <c r="E9" s="137" t="s">
        <v>82</v>
      </c>
      <c r="F9" s="1">
        <v>150</v>
      </c>
      <c r="G9" s="1"/>
      <c r="H9" s="1" t="s">
        <v>42</v>
      </c>
      <c r="I9" s="4"/>
      <c r="J9" s="212">
        <v>150</v>
      </c>
      <c r="K9" s="5"/>
      <c r="L9" s="1"/>
      <c r="M9" s="4"/>
      <c r="N9" s="58"/>
      <c r="O9" s="212"/>
      <c r="P9" s="10"/>
      <c r="Q9" s="1"/>
      <c r="R9" s="4"/>
      <c r="S9" s="58"/>
      <c r="T9" s="212"/>
      <c r="U9" s="199"/>
      <c r="V9" s="1"/>
      <c r="W9" s="4"/>
      <c r="X9" s="58"/>
      <c r="Y9" s="213">
        <f t="shared" si="0"/>
        <v>150</v>
      </c>
      <c r="Z9" s="145">
        <f t="shared" si="1"/>
        <v>0</v>
      </c>
    </row>
    <row r="10" spans="1:26" x14ac:dyDescent="0.25">
      <c r="A10" s="5" t="s">
        <v>38</v>
      </c>
      <c r="B10" s="219" t="s">
        <v>53</v>
      </c>
      <c r="C10" s="1" t="s">
        <v>55</v>
      </c>
      <c r="D10" s="1" t="s">
        <v>64</v>
      </c>
      <c r="E10" s="252" t="s">
        <v>49</v>
      </c>
      <c r="F10" s="1">
        <v>70</v>
      </c>
      <c r="G10" s="1"/>
      <c r="H10" s="1" t="s">
        <v>42</v>
      </c>
      <c r="I10" s="185">
        <v>45666</v>
      </c>
      <c r="J10" s="212">
        <v>70</v>
      </c>
      <c r="K10" s="5"/>
      <c r="L10" s="1"/>
      <c r="M10" s="4"/>
      <c r="N10" s="58"/>
      <c r="O10" s="212"/>
      <c r="P10" s="10"/>
      <c r="Q10" s="1"/>
      <c r="R10" s="4"/>
      <c r="S10" s="58"/>
      <c r="T10" s="212"/>
      <c r="U10" s="5"/>
      <c r="V10" s="1"/>
      <c r="W10" s="4"/>
      <c r="X10" s="58"/>
      <c r="Y10" s="213">
        <f t="shared" si="0"/>
        <v>70</v>
      </c>
      <c r="Z10" s="145">
        <f t="shared" si="1"/>
        <v>0</v>
      </c>
    </row>
    <row r="11" spans="1:26" x14ac:dyDescent="0.25">
      <c r="A11" s="5" t="s">
        <v>75</v>
      </c>
      <c r="B11" s="219" t="s">
        <v>76</v>
      </c>
      <c r="C11" s="1" t="s">
        <v>55</v>
      </c>
      <c r="D11" s="1" t="s">
        <v>71</v>
      </c>
      <c r="E11" s="177" t="s">
        <v>76</v>
      </c>
      <c r="F11" s="1">
        <v>80</v>
      </c>
      <c r="G11" s="1"/>
      <c r="H11" s="1" t="s">
        <v>42</v>
      </c>
      <c r="I11" s="183">
        <v>45698</v>
      </c>
      <c r="J11" s="212">
        <v>80</v>
      </c>
      <c r="K11" s="5"/>
      <c r="L11" s="1"/>
      <c r="M11" s="4"/>
      <c r="N11" s="58"/>
      <c r="O11" s="212"/>
      <c r="P11" s="10"/>
      <c r="Q11" s="1"/>
      <c r="R11" s="4"/>
      <c r="S11" s="58"/>
      <c r="T11" s="212"/>
      <c r="U11" s="5"/>
      <c r="V11" s="1"/>
      <c r="W11" s="4"/>
      <c r="X11" s="58"/>
      <c r="Y11" s="213">
        <f t="shared" si="0"/>
        <v>80</v>
      </c>
      <c r="Z11" s="145">
        <f t="shared" si="1"/>
        <v>0</v>
      </c>
    </row>
    <row r="12" spans="1:26" ht="15.75" thickBot="1" x14ac:dyDescent="0.3">
      <c r="A12" s="63" t="s">
        <v>77</v>
      </c>
      <c r="B12" s="220" t="s">
        <v>76</v>
      </c>
      <c r="C12" s="16" t="s">
        <v>78</v>
      </c>
      <c r="D12" s="16" t="s">
        <v>71</v>
      </c>
      <c r="E12" s="136" t="s">
        <v>76</v>
      </c>
      <c r="F12" s="16">
        <v>88</v>
      </c>
      <c r="G12" s="16"/>
      <c r="H12" s="16" t="s">
        <v>42</v>
      </c>
      <c r="I12" s="71"/>
      <c r="J12" s="212">
        <v>88</v>
      </c>
      <c r="K12" s="63"/>
      <c r="L12" s="16"/>
      <c r="M12" s="71"/>
      <c r="N12" s="65"/>
      <c r="O12" s="212"/>
      <c r="P12" s="11"/>
      <c r="Q12" s="16"/>
      <c r="R12" s="71"/>
      <c r="S12" s="65"/>
      <c r="T12" s="212"/>
      <c r="U12" s="63"/>
      <c r="V12" s="16"/>
      <c r="W12" s="71"/>
      <c r="X12" s="65"/>
      <c r="Y12" s="213">
        <f t="shared" si="0"/>
        <v>88</v>
      </c>
      <c r="Z12" s="145">
        <f t="shared" si="1"/>
        <v>0</v>
      </c>
    </row>
    <row r="13" spans="1:26" x14ac:dyDescent="0.25">
      <c r="A13" s="172" t="s">
        <v>56</v>
      </c>
      <c r="B13" s="218" t="s">
        <v>87</v>
      </c>
      <c r="C13" s="67" t="s">
        <v>57</v>
      </c>
      <c r="D13" s="67" t="s">
        <v>48</v>
      </c>
      <c r="E13" s="254" t="s">
        <v>88</v>
      </c>
      <c r="F13" s="67">
        <v>100</v>
      </c>
      <c r="G13" s="67"/>
      <c r="H13" s="67"/>
      <c r="I13" s="184"/>
      <c r="J13" s="212">
        <v>100</v>
      </c>
      <c r="K13" s="69"/>
      <c r="L13" s="67"/>
      <c r="M13" s="70"/>
      <c r="N13" s="68"/>
      <c r="O13" s="212"/>
      <c r="P13" s="66"/>
      <c r="Q13" s="67"/>
      <c r="R13" s="70"/>
      <c r="S13" s="68"/>
      <c r="T13" s="212"/>
      <c r="U13" s="69"/>
      <c r="V13" s="67"/>
      <c r="W13" s="70"/>
      <c r="X13" s="68"/>
      <c r="Y13" s="213">
        <f t="shared" si="0"/>
        <v>100</v>
      </c>
      <c r="Z13" s="145">
        <f t="shared" si="1"/>
        <v>0</v>
      </c>
    </row>
    <row r="14" spans="1:26" x14ac:dyDescent="0.25">
      <c r="A14" s="5" t="s">
        <v>38</v>
      </c>
      <c r="B14" s="219" t="s">
        <v>93</v>
      </c>
      <c r="C14" s="1" t="s">
        <v>63</v>
      </c>
      <c r="D14" s="1" t="s">
        <v>64</v>
      </c>
      <c r="E14" s="178" t="s">
        <v>91</v>
      </c>
      <c r="F14" s="1">
        <v>30</v>
      </c>
      <c r="G14" s="1"/>
      <c r="H14" s="1" t="s">
        <v>92</v>
      </c>
      <c r="I14" s="183" t="s">
        <v>20</v>
      </c>
      <c r="J14" s="212">
        <v>30</v>
      </c>
      <c r="K14" s="5"/>
      <c r="L14" s="1"/>
      <c r="M14" s="4"/>
      <c r="N14" s="58"/>
      <c r="O14" s="212"/>
      <c r="P14" s="10"/>
      <c r="Q14" s="1"/>
      <c r="R14" s="4"/>
      <c r="S14" s="58"/>
      <c r="T14" s="212"/>
      <c r="U14" s="199"/>
      <c r="V14" s="1"/>
      <c r="W14" s="4"/>
      <c r="X14" s="58"/>
      <c r="Y14" s="213">
        <f t="shared" si="0"/>
        <v>30</v>
      </c>
      <c r="Z14" s="145">
        <f t="shared" si="1"/>
        <v>0</v>
      </c>
    </row>
    <row r="15" spans="1:26" x14ac:dyDescent="0.25">
      <c r="A15" s="5" t="s">
        <v>94</v>
      </c>
      <c r="B15" s="219" t="s">
        <v>96</v>
      </c>
      <c r="C15" s="1" t="s">
        <v>63</v>
      </c>
      <c r="D15" s="1" t="s">
        <v>95</v>
      </c>
      <c r="E15" s="252" t="s">
        <v>49</v>
      </c>
      <c r="F15" s="1">
        <v>25</v>
      </c>
      <c r="G15" s="1"/>
      <c r="H15" s="1"/>
      <c r="I15" s="183">
        <v>45740</v>
      </c>
      <c r="J15" s="212">
        <v>25</v>
      </c>
      <c r="K15" s="5"/>
      <c r="L15" s="1"/>
      <c r="M15" s="4"/>
      <c r="N15" s="58"/>
      <c r="O15" s="212"/>
      <c r="P15" s="10"/>
      <c r="Q15" s="1"/>
      <c r="R15" s="4"/>
      <c r="S15" s="58"/>
      <c r="T15" s="212"/>
      <c r="U15" s="5"/>
      <c r="V15" s="1"/>
      <c r="W15" s="4"/>
      <c r="X15" s="58"/>
      <c r="Y15" s="213">
        <f t="shared" si="0"/>
        <v>25</v>
      </c>
      <c r="Z15" s="145">
        <f t="shared" si="1"/>
        <v>0</v>
      </c>
    </row>
    <row r="16" spans="1:26" x14ac:dyDescent="0.25">
      <c r="A16" s="5" t="s">
        <v>94</v>
      </c>
      <c r="B16" s="219" t="s">
        <v>98</v>
      </c>
      <c r="C16" s="1" t="s">
        <v>63</v>
      </c>
      <c r="D16" s="1" t="s">
        <v>95</v>
      </c>
      <c r="E16" s="137" t="s">
        <v>97</v>
      </c>
      <c r="F16" s="1">
        <v>35</v>
      </c>
      <c r="G16" s="1"/>
      <c r="H16" s="1"/>
      <c r="I16" s="183">
        <v>45740</v>
      </c>
      <c r="J16" s="212">
        <v>35</v>
      </c>
      <c r="K16" s="5"/>
      <c r="L16" s="1"/>
      <c r="M16" s="4"/>
      <c r="N16" s="58"/>
      <c r="O16" s="212"/>
      <c r="P16" s="10"/>
      <c r="Q16" s="1"/>
      <c r="R16" s="4"/>
      <c r="S16" s="58"/>
      <c r="T16" s="212"/>
      <c r="U16" s="5"/>
      <c r="V16" s="1"/>
      <c r="W16" s="4"/>
      <c r="X16" s="58"/>
      <c r="Y16" s="213">
        <f t="shared" si="0"/>
        <v>35</v>
      </c>
      <c r="Z16" s="145">
        <f t="shared" si="1"/>
        <v>0</v>
      </c>
    </row>
    <row r="17" spans="1:26" x14ac:dyDescent="0.25">
      <c r="A17" s="5" t="s">
        <v>89</v>
      </c>
      <c r="B17" s="219" t="s">
        <v>90</v>
      </c>
      <c r="C17" s="1" t="s">
        <v>63</v>
      </c>
      <c r="D17" s="1" t="s">
        <v>71</v>
      </c>
      <c r="E17" s="73" t="s">
        <v>102</v>
      </c>
      <c r="F17" s="1">
        <v>680</v>
      </c>
      <c r="G17" s="1"/>
      <c r="H17" s="1"/>
      <c r="I17" s="4"/>
      <c r="J17" s="212">
        <v>680</v>
      </c>
      <c r="K17" s="5"/>
      <c r="L17" s="1"/>
      <c r="M17" s="4"/>
      <c r="N17" s="58"/>
      <c r="O17" s="212"/>
      <c r="P17" s="10"/>
      <c r="Q17" s="1"/>
      <c r="R17" s="4"/>
      <c r="S17" s="58"/>
      <c r="T17" s="212"/>
      <c r="U17" s="5"/>
      <c r="V17" s="1"/>
      <c r="W17" s="4"/>
      <c r="X17" s="58"/>
      <c r="Y17" s="213">
        <f t="shared" si="0"/>
        <v>680</v>
      </c>
      <c r="Z17" s="145">
        <f t="shared" si="1"/>
        <v>0</v>
      </c>
    </row>
    <row r="18" spans="1:26" x14ac:dyDescent="0.25">
      <c r="A18" s="5" t="s">
        <v>38</v>
      </c>
      <c r="B18" s="219" t="s">
        <v>103</v>
      </c>
      <c r="C18" s="1" t="s">
        <v>63</v>
      </c>
      <c r="D18" s="1" t="s">
        <v>71</v>
      </c>
      <c r="E18" s="252" t="s">
        <v>49</v>
      </c>
      <c r="F18" s="1">
        <v>100</v>
      </c>
      <c r="G18" s="1"/>
      <c r="H18" s="1"/>
      <c r="I18" s="183">
        <v>45763</v>
      </c>
      <c r="J18" s="212">
        <v>100</v>
      </c>
      <c r="K18" s="5"/>
      <c r="L18" s="1"/>
      <c r="M18" s="4"/>
      <c r="N18" s="58"/>
      <c r="O18" s="212"/>
      <c r="P18" s="10"/>
      <c r="Q18" s="1"/>
      <c r="R18" s="4"/>
      <c r="S18" s="58"/>
      <c r="T18" s="212"/>
      <c r="U18" s="5"/>
      <c r="V18" s="1"/>
      <c r="W18" s="4"/>
      <c r="X18" s="58"/>
      <c r="Y18" s="213">
        <f t="shared" si="0"/>
        <v>100</v>
      </c>
      <c r="Z18" s="145">
        <f t="shared" si="1"/>
        <v>0</v>
      </c>
    </row>
    <row r="19" spans="1:26" x14ac:dyDescent="0.25">
      <c r="A19" s="5" t="s">
        <v>101</v>
      </c>
      <c r="B19" s="219" t="s">
        <v>99</v>
      </c>
      <c r="C19" s="1" t="s">
        <v>63</v>
      </c>
      <c r="D19" s="1" t="s">
        <v>71</v>
      </c>
      <c r="E19" s="73" t="s">
        <v>100</v>
      </c>
      <c r="F19" s="1">
        <v>380</v>
      </c>
      <c r="G19" s="1"/>
      <c r="H19" s="1"/>
      <c r="I19" s="4"/>
      <c r="J19" s="212">
        <v>380</v>
      </c>
      <c r="K19" s="5"/>
      <c r="L19" s="1"/>
      <c r="M19" s="4"/>
      <c r="N19" s="58"/>
      <c r="O19" s="212"/>
      <c r="P19" s="10"/>
      <c r="Q19" s="1"/>
      <c r="R19" s="4"/>
      <c r="S19" s="58"/>
      <c r="T19" s="212"/>
      <c r="U19" s="5"/>
      <c r="V19" s="1"/>
      <c r="W19" s="4"/>
      <c r="X19" s="58"/>
      <c r="Y19" s="213">
        <f t="shared" si="0"/>
        <v>380</v>
      </c>
      <c r="Z19" s="145">
        <f t="shared" si="1"/>
        <v>0</v>
      </c>
    </row>
    <row r="20" spans="1:26" ht="15.75" thickBot="1" x14ac:dyDescent="0.3">
      <c r="A20" s="63" t="s">
        <v>83</v>
      </c>
      <c r="B20" s="220" t="s">
        <v>85</v>
      </c>
      <c r="C20" s="16" t="s">
        <v>63</v>
      </c>
      <c r="D20" s="16" t="s">
        <v>71</v>
      </c>
      <c r="E20" s="173" t="s">
        <v>84</v>
      </c>
      <c r="F20" s="16">
        <v>980</v>
      </c>
      <c r="G20" s="16"/>
      <c r="H20" s="16"/>
      <c r="I20" s="71"/>
      <c r="J20" s="212">
        <v>400</v>
      </c>
      <c r="K20" s="63"/>
      <c r="L20" s="16"/>
      <c r="M20" s="71"/>
      <c r="N20" s="17">
        <v>45812</v>
      </c>
      <c r="O20" s="212">
        <v>380</v>
      </c>
      <c r="P20" s="11"/>
      <c r="Q20" s="16"/>
      <c r="R20" s="71"/>
      <c r="S20" s="65"/>
      <c r="T20" s="212"/>
      <c r="U20" s="63">
        <v>200</v>
      </c>
      <c r="V20" s="16">
        <v>42</v>
      </c>
      <c r="W20" s="71">
        <v>30</v>
      </c>
      <c r="X20" s="65"/>
      <c r="Y20" s="213">
        <f t="shared" si="0"/>
        <v>980</v>
      </c>
      <c r="Z20" s="145">
        <f t="shared" si="1"/>
        <v>0</v>
      </c>
    </row>
    <row r="21" spans="1:26" x14ac:dyDescent="0.25">
      <c r="A21" s="174" t="s">
        <v>56</v>
      </c>
      <c r="B21" s="218" t="s">
        <v>128</v>
      </c>
      <c r="C21" s="67" t="s">
        <v>57</v>
      </c>
      <c r="D21" s="67" t="s">
        <v>48</v>
      </c>
      <c r="E21" s="254" t="s">
        <v>49</v>
      </c>
      <c r="F21" s="67">
        <v>100</v>
      </c>
      <c r="G21" s="67"/>
      <c r="H21" s="67"/>
      <c r="I21" s="184">
        <v>45754</v>
      </c>
      <c r="J21" s="212">
        <v>100</v>
      </c>
      <c r="K21" s="69"/>
      <c r="L21" s="67"/>
      <c r="M21" s="70"/>
      <c r="N21" s="68"/>
      <c r="O21" s="212"/>
      <c r="P21" s="66"/>
      <c r="Q21" s="67"/>
      <c r="R21" s="70"/>
      <c r="S21" s="68"/>
      <c r="T21" s="212"/>
      <c r="U21" s="69"/>
      <c r="V21" s="67"/>
      <c r="W21" s="70"/>
      <c r="X21" s="68"/>
      <c r="Y21" s="213">
        <f t="shared" si="0"/>
        <v>100</v>
      </c>
      <c r="Z21" s="145">
        <f t="shared" si="1"/>
        <v>0</v>
      </c>
    </row>
    <row r="22" spans="1:26" x14ac:dyDescent="0.25">
      <c r="A22" s="5" t="s">
        <v>94</v>
      </c>
      <c r="B22" s="219" t="s">
        <v>124</v>
      </c>
      <c r="C22" s="1" t="s">
        <v>63</v>
      </c>
      <c r="D22" s="1" t="s">
        <v>95</v>
      </c>
      <c r="E22" s="137" t="s">
        <v>97</v>
      </c>
      <c r="F22" s="1">
        <v>30</v>
      </c>
      <c r="G22" s="1"/>
      <c r="H22" s="1"/>
      <c r="I22" s="183">
        <v>45749</v>
      </c>
      <c r="J22" s="212">
        <v>30</v>
      </c>
      <c r="K22" s="5"/>
      <c r="L22" s="1"/>
      <c r="M22" s="4"/>
      <c r="N22" s="58"/>
      <c r="O22" s="212"/>
      <c r="P22" s="10"/>
      <c r="Q22" s="1"/>
      <c r="R22" s="4"/>
      <c r="S22" s="58"/>
      <c r="T22" s="212"/>
      <c r="U22" s="5"/>
      <c r="V22" s="1"/>
      <c r="W22" s="4"/>
      <c r="X22" s="58"/>
      <c r="Y22" s="213">
        <f t="shared" si="0"/>
        <v>30</v>
      </c>
      <c r="Z22" s="145">
        <f t="shared" si="1"/>
        <v>0</v>
      </c>
    </row>
    <row r="23" spans="1:26" x14ac:dyDescent="0.25">
      <c r="A23" s="5" t="s">
        <v>129</v>
      </c>
      <c r="B23" s="219" t="s">
        <v>130</v>
      </c>
      <c r="C23" s="1" t="s">
        <v>63</v>
      </c>
      <c r="D23" s="1" t="s">
        <v>131</v>
      </c>
      <c r="E23" s="73" t="s">
        <v>132</v>
      </c>
      <c r="F23" s="1">
        <v>780</v>
      </c>
      <c r="G23" s="1"/>
      <c r="H23" s="1"/>
      <c r="I23" s="183">
        <v>45758</v>
      </c>
      <c r="J23" s="212">
        <v>780</v>
      </c>
      <c r="K23" s="5"/>
      <c r="L23" s="1"/>
      <c r="M23" s="4"/>
      <c r="N23" s="58"/>
      <c r="O23" s="212"/>
      <c r="P23" s="10"/>
      <c r="Q23" s="1"/>
      <c r="R23" s="4"/>
      <c r="S23" s="58"/>
      <c r="T23" s="212"/>
      <c r="U23" s="5"/>
      <c r="V23" s="1"/>
      <c r="W23" s="4"/>
      <c r="X23" s="58"/>
      <c r="Y23" s="213">
        <f t="shared" si="0"/>
        <v>780</v>
      </c>
      <c r="Z23" s="145">
        <f t="shared" si="1"/>
        <v>0</v>
      </c>
    </row>
    <row r="24" spans="1:26" ht="15.75" thickBot="1" x14ac:dyDescent="0.3">
      <c r="A24" s="63" t="s">
        <v>94</v>
      </c>
      <c r="B24" s="220" t="s">
        <v>141</v>
      </c>
      <c r="C24" s="16" t="s">
        <v>63</v>
      </c>
      <c r="D24" s="16" t="s">
        <v>95</v>
      </c>
      <c r="E24" s="253" t="s">
        <v>49</v>
      </c>
      <c r="F24" s="16">
        <v>35</v>
      </c>
      <c r="G24" s="16"/>
      <c r="H24" s="16"/>
      <c r="I24" s="186"/>
      <c r="J24" s="212">
        <v>35</v>
      </c>
      <c r="K24" s="63"/>
      <c r="L24" s="16"/>
      <c r="M24" s="71"/>
      <c r="N24" s="65"/>
      <c r="O24" s="212"/>
      <c r="P24" s="11"/>
      <c r="Q24" s="16"/>
      <c r="R24" s="71"/>
      <c r="S24" s="65"/>
      <c r="T24" s="212"/>
      <c r="U24" s="63"/>
      <c r="V24" s="16"/>
      <c r="W24" s="71"/>
      <c r="X24" s="65"/>
      <c r="Y24" s="213">
        <f t="shared" si="0"/>
        <v>35</v>
      </c>
      <c r="Z24" s="145">
        <f t="shared" si="1"/>
        <v>0</v>
      </c>
    </row>
    <row r="25" spans="1:26" x14ac:dyDescent="0.25">
      <c r="A25" s="5" t="s">
        <v>136</v>
      </c>
      <c r="B25" s="182" t="s">
        <v>137</v>
      </c>
      <c r="C25" s="5" t="s">
        <v>63</v>
      </c>
      <c r="D25" s="5" t="s">
        <v>71</v>
      </c>
      <c r="E25" s="73" t="s">
        <v>60</v>
      </c>
      <c r="F25" s="1">
        <v>790</v>
      </c>
      <c r="G25" s="1"/>
      <c r="H25" s="1"/>
      <c r="I25" s="4"/>
      <c r="J25" s="212">
        <v>790</v>
      </c>
      <c r="K25" s="209"/>
      <c r="L25" s="4"/>
      <c r="M25" s="4"/>
      <c r="N25" s="183">
        <v>45831</v>
      </c>
      <c r="O25" s="212"/>
      <c r="P25" s="4"/>
      <c r="Q25" s="4"/>
      <c r="R25" s="4"/>
      <c r="S25" s="4"/>
      <c r="T25" s="212"/>
      <c r="U25" s="58"/>
      <c r="V25" s="4"/>
      <c r="W25" s="4"/>
      <c r="X25" s="4"/>
      <c r="Y25" s="213">
        <f t="shared" si="0"/>
        <v>790</v>
      </c>
      <c r="Z25" s="145">
        <f t="shared" si="1"/>
        <v>0</v>
      </c>
    </row>
    <row r="26" spans="1:26" x14ac:dyDescent="0.25">
      <c r="A26" s="143" t="s">
        <v>153</v>
      </c>
      <c r="B26" s="221" t="s">
        <v>154</v>
      </c>
      <c r="C26" s="145" t="s">
        <v>63</v>
      </c>
      <c r="D26" s="145" t="s">
        <v>71</v>
      </c>
      <c r="E26" s="144" t="s">
        <v>74</v>
      </c>
      <c r="F26" s="145">
        <v>100</v>
      </c>
      <c r="G26" s="145"/>
      <c r="H26" s="145"/>
      <c r="I26" s="187"/>
      <c r="J26" s="212">
        <v>100</v>
      </c>
      <c r="K26" s="143"/>
      <c r="L26" s="145"/>
      <c r="M26" s="187"/>
      <c r="N26" s="197"/>
      <c r="O26" s="212"/>
      <c r="P26" s="196"/>
      <c r="Q26" s="145"/>
      <c r="R26" s="187"/>
      <c r="S26" s="197"/>
      <c r="T26" s="212"/>
      <c r="U26" s="143"/>
      <c r="V26" s="145"/>
      <c r="W26" s="187"/>
      <c r="X26" s="197"/>
      <c r="Y26" s="213">
        <f t="shared" si="0"/>
        <v>100</v>
      </c>
      <c r="Z26" s="145">
        <f t="shared" si="1"/>
        <v>0</v>
      </c>
    </row>
    <row r="27" spans="1:26" ht="15.75" thickBot="1" x14ac:dyDescent="0.3">
      <c r="A27" s="182" t="s">
        <v>160</v>
      </c>
      <c r="B27" s="182" t="s">
        <v>161</v>
      </c>
      <c r="C27" s="5" t="s">
        <v>63</v>
      </c>
      <c r="D27" s="5" t="s">
        <v>71</v>
      </c>
      <c r="E27" s="73" t="s">
        <v>162</v>
      </c>
      <c r="F27" s="1">
        <v>100</v>
      </c>
      <c r="G27" s="1"/>
      <c r="H27" s="1"/>
      <c r="I27" s="4"/>
      <c r="J27" s="212">
        <v>100</v>
      </c>
      <c r="K27" s="210"/>
      <c r="L27" s="186"/>
      <c r="M27" s="186"/>
      <c r="N27" s="186">
        <v>45800</v>
      </c>
      <c r="O27" s="212"/>
      <c r="P27" s="129"/>
      <c r="Q27" s="71"/>
      <c r="R27" s="71"/>
      <c r="S27" s="65"/>
      <c r="T27" s="212"/>
      <c r="U27" s="154"/>
      <c r="V27" s="71"/>
      <c r="W27" s="71"/>
      <c r="X27" s="65"/>
      <c r="Y27" s="213">
        <f t="shared" si="0"/>
        <v>100</v>
      </c>
      <c r="Z27" s="145">
        <f t="shared" si="1"/>
        <v>0</v>
      </c>
    </row>
    <row r="28" spans="1:26" x14ac:dyDescent="0.25">
      <c r="A28" s="5" t="s">
        <v>142</v>
      </c>
      <c r="B28" s="182" t="s">
        <v>143</v>
      </c>
      <c r="C28" s="5" t="s">
        <v>63</v>
      </c>
      <c r="D28" s="5" t="s">
        <v>71</v>
      </c>
      <c r="E28" s="203" t="s">
        <v>172</v>
      </c>
      <c r="F28" s="1">
        <v>450</v>
      </c>
      <c r="G28" s="1"/>
      <c r="H28" s="1"/>
      <c r="I28" s="4"/>
      <c r="J28" s="212">
        <v>225</v>
      </c>
      <c r="K28" s="209"/>
      <c r="L28" s="4"/>
      <c r="M28" s="4"/>
      <c r="N28" s="4"/>
      <c r="O28" s="212"/>
      <c r="P28" s="4">
        <v>225</v>
      </c>
      <c r="Q28" s="4"/>
      <c r="R28" s="4"/>
      <c r="S28" s="4"/>
      <c r="T28" s="212"/>
      <c r="U28" s="58"/>
      <c r="V28" s="4"/>
      <c r="W28" s="4"/>
      <c r="X28" s="4"/>
      <c r="Y28" s="213">
        <f t="shared" si="0"/>
        <v>450</v>
      </c>
      <c r="Z28" s="145">
        <f t="shared" si="1"/>
        <v>0</v>
      </c>
    </row>
    <row r="29" spans="1:26" ht="15.75" thickBot="1" x14ac:dyDescent="0.3">
      <c r="A29" s="63" t="s">
        <v>65</v>
      </c>
      <c r="B29" s="220" t="s">
        <v>166</v>
      </c>
      <c r="C29" s="16" t="s">
        <v>55</v>
      </c>
      <c r="D29" s="16" t="s">
        <v>64</v>
      </c>
      <c r="E29" s="200" t="s">
        <v>167</v>
      </c>
      <c r="F29" s="16">
        <v>50</v>
      </c>
      <c r="G29" s="16"/>
      <c r="H29" s="16"/>
      <c r="I29" s="71"/>
      <c r="J29" s="212">
        <v>50</v>
      </c>
      <c r="K29" s="63"/>
      <c r="L29" s="201"/>
      <c r="M29" s="201"/>
      <c r="N29" s="201">
        <v>45826</v>
      </c>
      <c r="O29" s="212"/>
      <c r="P29" s="11"/>
      <c r="Q29" s="16"/>
      <c r="R29" s="71"/>
      <c r="S29" s="65"/>
      <c r="T29" s="212"/>
      <c r="U29" s="63"/>
      <c r="V29" s="16"/>
      <c r="W29" s="71"/>
      <c r="X29" s="65"/>
      <c r="Y29" s="213">
        <f t="shared" si="0"/>
        <v>50</v>
      </c>
      <c r="Z29" s="145">
        <f t="shared" si="1"/>
        <v>0</v>
      </c>
    </row>
    <row r="30" spans="1:26" x14ac:dyDescent="0.25">
      <c r="A30" s="5" t="s">
        <v>38</v>
      </c>
      <c r="B30" s="219" t="s">
        <v>168</v>
      </c>
      <c r="C30" s="1" t="s">
        <v>63</v>
      </c>
      <c r="D30" s="1" t="s">
        <v>71</v>
      </c>
      <c r="E30" s="252" t="s">
        <v>49</v>
      </c>
      <c r="F30" s="1">
        <v>40</v>
      </c>
      <c r="G30" s="1"/>
      <c r="H30" s="1"/>
      <c r="I30" s="183">
        <v>45807</v>
      </c>
      <c r="J30" s="212">
        <v>40</v>
      </c>
      <c r="K30" s="5"/>
      <c r="L30" s="202"/>
      <c r="M30" s="202"/>
      <c r="N30" s="202">
        <v>45828</v>
      </c>
      <c r="O30" s="212"/>
      <c r="P30" s="10"/>
      <c r="Q30" s="1"/>
      <c r="R30" s="4"/>
      <c r="S30" s="58"/>
      <c r="T30" s="212"/>
      <c r="U30" s="5"/>
      <c r="V30" s="1"/>
      <c r="W30" s="4"/>
      <c r="X30" s="58"/>
      <c r="Y30" s="213">
        <f t="shared" si="0"/>
        <v>40</v>
      </c>
      <c r="Z30" s="145">
        <f t="shared" si="1"/>
        <v>0</v>
      </c>
    </row>
    <row r="31" spans="1:26" ht="15.75" thickBot="1" x14ac:dyDescent="0.3">
      <c r="A31" s="5" t="s">
        <v>139</v>
      </c>
      <c r="B31" s="182" t="s">
        <v>140</v>
      </c>
      <c r="C31" s="5" t="s">
        <v>63</v>
      </c>
      <c r="D31" s="5" t="s">
        <v>71</v>
      </c>
      <c r="E31" s="73" t="s">
        <v>84</v>
      </c>
      <c r="F31" s="1">
        <v>2900</v>
      </c>
      <c r="G31" s="1"/>
      <c r="H31" s="1"/>
      <c r="I31" s="4"/>
      <c r="J31" s="224">
        <v>400</v>
      </c>
      <c r="K31" s="209"/>
      <c r="L31" s="4"/>
      <c r="M31" s="4"/>
      <c r="N31" s="4"/>
      <c r="O31" s="212"/>
      <c r="P31" s="4">
        <v>1000</v>
      </c>
      <c r="Q31" s="4">
        <v>210</v>
      </c>
      <c r="R31" s="4"/>
      <c r="S31" s="4"/>
      <c r="T31" s="212">
        <v>1500</v>
      </c>
      <c r="U31" s="58"/>
      <c r="V31" s="4"/>
      <c r="W31" s="4"/>
      <c r="X31" s="4"/>
      <c r="Y31" s="213">
        <f t="shared" si="0"/>
        <v>2900</v>
      </c>
      <c r="Z31" s="145">
        <f t="shared" si="1"/>
        <v>0</v>
      </c>
    </row>
    <row r="32" spans="1:26" ht="15.75" thickBot="1" x14ac:dyDescent="0.3">
      <c r="A32" s="69" t="s">
        <v>169</v>
      </c>
      <c r="B32" s="218" t="s">
        <v>170</v>
      </c>
      <c r="C32" s="67" t="s">
        <v>63</v>
      </c>
      <c r="D32" s="67" t="s">
        <v>171</v>
      </c>
      <c r="E32" s="203" t="s">
        <v>201</v>
      </c>
      <c r="F32" s="67">
        <v>580</v>
      </c>
      <c r="G32" s="67"/>
      <c r="H32" s="67" t="s">
        <v>42</v>
      </c>
      <c r="I32" s="184"/>
      <c r="J32" s="212"/>
      <c r="K32" s="69">
        <v>200</v>
      </c>
      <c r="L32" s="67">
        <v>42</v>
      </c>
      <c r="M32" s="70">
        <v>30</v>
      </c>
      <c r="N32" s="68"/>
      <c r="O32" s="212"/>
      <c r="P32" s="66">
        <v>380</v>
      </c>
      <c r="Q32" s="67"/>
      <c r="R32" s="70"/>
      <c r="S32" s="68"/>
      <c r="T32" s="212"/>
      <c r="U32" s="198"/>
      <c r="V32" s="67"/>
      <c r="W32" s="70"/>
      <c r="X32" s="68"/>
      <c r="Y32" s="213">
        <f t="shared" si="0"/>
        <v>580</v>
      </c>
      <c r="Z32" s="145">
        <f t="shared" si="1"/>
        <v>0</v>
      </c>
    </row>
    <row r="33" spans="1:26" ht="15.75" thickBot="1" x14ac:dyDescent="0.3">
      <c r="A33" s="145" t="s">
        <v>174</v>
      </c>
      <c r="B33" s="145" t="s">
        <v>175</v>
      </c>
      <c r="C33" s="145" t="s">
        <v>55</v>
      </c>
      <c r="D33" s="145" t="s">
        <v>71</v>
      </c>
      <c r="E33" s="222" t="s">
        <v>176</v>
      </c>
      <c r="F33" s="145">
        <v>680</v>
      </c>
      <c r="G33" s="145">
        <v>680</v>
      </c>
      <c r="H33" s="145">
        <v>750</v>
      </c>
      <c r="I33" s="246"/>
      <c r="J33" s="212">
        <v>680</v>
      </c>
      <c r="K33" s="69"/>
      <c r="L33" s="67"/>
      <c r="M33" s="70"/>
      <c r="N33" s="68"/>
      <c r="O33" s="212"/>
      <c r="P33" s="66"/>
      <c r="Q33" s="67"/>
      <c r="R33" s="70"/>
      <c r="S33" s="68"/>
      <c r="T33" s="212"/>
      <c r="U33" s="198"/>
      <c r="V33" s="67"/>
      <c r="W33" s="70"/>
      <c r="X33" s="68"/>
      <c r="Y33" s="213">
        <f t="shared" ref="Y33" si="2">J33+K33+O33+T33+P33+U33</f>
        <v>680</v>
      </c>
      <c r="Z33" s="145">
        <f t="shared" si="1"/>
        <v>0</v>
      </c>
    </row>
    <row r="34" spans="1:26" x14ac:dyDescent="0.25">
      <c r="A34" s="145" t="s">
        <v>174</v>
      </c>
      <c r="B34" s="145" t="s">
        <v>202</v>
      </c>
      <c r="C34" s="145"/>
      <c r="D34" s="145"/>
      <c r="E34" s="222"/>
      <c r="F34" s="96">
        <v>157.5</v>
      </c>
      <c r="G34" s="96"/>
      <c r="H34" s="96"/>
      <c r="I34" s="247"/>
      <c r="J34" s="212">
        <v>157.5</v>
      </c>
      <c r="K34" s="225"/>
      <c r="L34" s="226"/>
      <c r="M34" s="227"/>
      <c r="N34" s="228"/>
      <c r="O34" s="224"/>
      <c r="P34" s="229"/>
      <c r="Q34" s="226"/>
      <c r="R34" s="227"/>
      <c r="S34" s="228"/>
      <c r="T34" s="224"/>
      <c r="U34" s="230"/>
      <c r="V34" s="226"/>
      <c r="W34" s="227"/>
      <c r="X34" s="228"/>
      <c r="Y34" s="231">
        <f t="shared" ref="Y34" si="3">J34+K34+O34+T34+P34+U34</f>
        <v>157.5</v>
      </c>
      <c r="Z34" s="145">
        <f t="shared" si="1"/>
        <v>0</v>
      </c>
    </row>
    <row r="35" spans="1:26" x14ac:dyDescent="0.25">
      <c r="A35" s="143" t="s">
        <v>153</v>
      </c>
      <c r="B35" s="145" t="s">
        <v>213</v>
      </c>
      <c r="C35" s="145" t="s">
        <v>63</v>
      </c>
      <c r="D35" s="145" t="s">
        <v>64</v>
      </c>
      <c r="E35" s="144" t="s">
        <v>74</v>
      </c>
      <c r="F35" s="1">
        <v>150</v>
      </c>
      <c r="G35" s="1"/>
      <c r="H35" s="1"/>
      <c r="I35" s="183"/>
      <c r="J35" s="212">
        <v>150</v>
      </c>
      <c r="K35" s="5"/>
      <c r="L35" s="1"/>
      <c r="M35" s="1"/>
      <c r="N35" s="4"/>
      <c r="O35" s="224"/>
      <c r="P35" s="5"/>
      <c r="Q35" s="1"/>
      <c r="R35" s="1"/>
      <c r="S35" s="1"/>
      <c r="T35" s="235"/>
      <c r="U35" s="202"/>
      <c r="V35" s="1"/>
      <c r="W35" s="1"/>
      <c r="X35" s="1"/>
      <c r="Y35" s="139">
        <f t="shared" ref="Y35:Y36" si="4">J35+K35+O35+T35+P35+U35</f>
        <v>150</v>
      </c>
      <c r="Z35" s="145">
        <f t="shared" si="1"/>
        <v>0</v>
      </c>
    </row>
    <row r="36" spans="1:26" x14ac:dyDescent="0.25">
      <c r="A36" s="5" t="s">
        <v>214</v>
      </c>
      <c r="B36" s="1" t="s">
        <v>215</v>
      </c>
      <c r="C36" s="1" t="s">
        <v>55</v>
      </c>
      <c r="D36" s="1" t="s">
        <v>71</v>
      </c>
      <c r="E36" s="177" t="s">
        <v>76</v>
      </c>
      <c r="F36" s="1">
        <v>80</v>
      </c>
      <c r="G36" s="1"/>
      <c r="H36" s="1"/>
      <c r="I36" s="183"/>
      <c r="J36" s="212">
        <v>80</v>
      </c>
      <c r="K36" s="5"/>
      <c r="L36" s="1"/>
      <c r="M36" s="1"/>
      <c r="N36" s="4"/>
      <c r="O36" s="212"/>
      <c r="P36" s="5"/>
      <c r="Q36" s="1"/>
      <c r="R36" s="1"/>
      <c r="S36" s="1"/>
      <c r="T36" s="235"/>
      <c r="U36" s="202"/>
      <c r="V36" s="1"/>
      <c r="W36" s="1"/>
      <c r="X36" s="1"/>
      <c r="Y36" s="139">
        <f t="shared" si="4"/>
        <v>80</v>
      </c>
      <c r="Z36" s="145">
        <f t="shared" si="1"/>
        <v>0</v>
      </c>
    </row>
    <row r="37" spans="1:26" x14ac:dyDescent="0.25">
      <c r="A37" s="1" t="s">
        <v>222</v>
      </c>
      <c r="B37" s="1" t="s">
        <v>262</v>
      </c>
      <c r="C37" s="1" t="s">
        <v>223</v>
      </c>
      <c r="D37" s="1" t="s">
        <v>224</v>
      </c>
      <c r="E37" s="233" t="s">
        <v>225</v>
      </c>
      <c r="F37" s="139">
        <f>49.59+157.02</f>
        <v>206.61</v>
      </c>
      <c r="G37" s="1" t="s">
        <v>42</v>
      </c>
      <c r="H37" s="1"/>
      <c r="I37" s="183">
        <v>45946</v>
      </c>
      <c r="J37" s="212"/>
      <c r="K37" s="5">
        <v>206.61</v>
      </c>
      <c r="L37" s="1">
        <f>K37*0.21</f>
        <v>43.388100000000001</v>
      </c>
      <c r="M37" s="135">
        <f>K37*0.15</f>
        <v>30.991500000000002</v>
      </c>
      <c r="N37" s="4"/>
      <c r="O37" s="212"/>
      <c r="P37" s="5"/>
      <c r="Q37" s="1"/>
      <c r="R37" s="1"/>
      <c r="S37" s="1"/>
      <c r="T37" s="236"/>
      <c r="U37" s="202"/>
      <c r="V37" s="1"/>
      <c r="W37" s="1"/>
      <c r="X37" s="1"/>
      <c r="Y37" s="139">
        <f t="shared" ref="Y37:Y38" si="5">J37+K37+O37+T37+P37+U37</f>
        <v>206.61</v>
      </c>
      <c r="Z37" s="145">
        <f t="shared" si="1"/>
        <v>0</v>
      </c>
    </row>
    <row r="38" spans="1:26" x14ac:dyDescent="0.25">
      <c r="A38" s="1" t="s">
        <v>222</v>
      </c>
      <c r="B38" s="1" t="s">
        <v>261</v>
      </c>
      <c r="C38" s="1" t="s">
        <v>230</v>
      </c>
      <c r="D38" s="1" t="s">
        <v>224</v>
      </c>
      <c r="E38" s="233" t="s">
        <v>225</v>
      </c>
      <c r="F38" s="1">
        <v>190.09</v>
      </c>
      <c r="G38" s="1" t="s">
        <v>42</v>
      </c>
      <c r="H38" s="1"/>
      <c r="I38" s="183">
        <v>45947</v>
      </c>
      <c r="J38" s="212"/>
      <c r="K38" s="5">
        <v>190.09</v>
      </c>
      <c r="L38" s="1">
        <f>K38*0.21</f>
        <v>39.918900000000001</v>
      </c>
      <c r="M38" s="135">
        <f>K38*0.15</f>
        <v>28.513500000000001</v>
      </c>
      <c r="N38" s="4"/>
      <c r="O38" s="212"/>
      <c r="P38" s="5"/>
      <c r="Q38" s="1"/>
      <c r="R38" s="1"/>
      <c r="S38" s="4"/>
      <c r="T38" s="212"/>
      <c r="U38" s="199"/>
      <c r="V38" s="1"/>
      <c r="W38" s="1"/>
      <c r="X38" s="1"/>
      <c r="Y38" s="139">
        <f t="shared" si="5"/>
        <v>190.09</v>
      </c>
      <c r="Z38" s="145">
        <f t="shared" si="1"/>
        <v>0</v>
      </c>
    </row>
    <row r="39" spans="1:26" x14ac:dyDescent="0.25">
      <c r="A39" s="1" t="s">
        <v>221</v>
      </c>
      <c r="B39" s="1" t="s">
        <v>189</v>
      </c>
      <c r="C39" s="1" t="s">
        <v>55</v>
      </c>
      <c r="D39" s="1" t="s">
        <v>71</v>
      </c>
      <c r="E39" s="245" t="s">
        <v>216</v>
      </c>
      <c r="F39" s="1">
        <v>250</v>
      </c>
      <c r="G39" s="1"/>
      <c r="H39" s="1"/>
      <c r="I39" s="183">
        <v>45957</v>
      </c>
      <c r="J39" s="212">
        <v>250</v>
      </c>
      <c r="K39" s="5"/>
      <c r="L39" s="1"/>
      <c r="M39" s="135"/>
      <c r="N39" s="4"/>
      <c r="O39" s="212"/>
      <c r="P39" s="5"/>
      <c r="Q39" s="1"/>
      <c r="R39" s="1"/>
      <c r="S39" s="4"/>
      <c r="T39" s="212"/>
      <c r="U39" s="199"/>
      <c r="V39" s="1"/>
      <c r="W39" s="1"/>
      <c r="X39" s="1"/>
      <c r="Y39" s="139">
        <f t="shared" ref="Y39" si="6">J39+K39+O39+T39+P39+U39</f>
        <v>250</v>
      </c>
      <c r="Z39" s="145">
        <f t="shared" si="1"/>
        <v>0</v>
      </c>
    </row>
    <row r="40" spans="1:26" x14ac:dyDescent="0.25">
      <c r="A40" s="1" t="s">
        <v>228</v>
      </c>
      <c r="B40" s="1" t="s">
        <v>229</v>
      </c>
      <c r="C40" s="1" t="s">
        <v>55</v>
      </c>
      <c r="D40" s="1" t="s">
        <v>71</v>
      </c>
      <c r="E40" s="73" t="s">
        <v>231</v>
      </c>
      <c r="F40" s="1">
        <v>300</v>
      </c>
      <c r="G40" s="1"/>
      <c r="H40" s="1"/>
      <c r="I40" s="202">
        <v>45961</v>
      </c>
      <c r="J40" s="212">
        <v>300</v>
      </c>
      <c r="K40" s="1"/>
      <c r="L40" s="1"/>
      <c r="M40" s="135"/>
      <c r="N40" s="4"/>
      <c r="O40" s="212"/>
      <c r="P40" s="5"/>
      <c r="Q40" s="1"/>
      <c r="R40" s="1"/>
      <c r="S40" s="4"/>
      <c r="T40" s="212"/>
      <c r="U40" s="199"/>
      <c r="V40" s="1"/>
      <c r="W40" s="1"/>
      <c r="X40" s="1"/>
      <c r="Y40" s="139">
        <f t="shared" ref="Y40:Y48" si="7">J40+K40+O40+T40+P40+U40</f>
        <v>300</v>
      </c>
      <c r="Z40" s="145">
        <f t="shared" si="1"/>
        <v>0</v>
      </c>
    </row>
    <row r="41" spans="1:26" x14ac:dyDescent="0.25">
      <c r="A41" s="1" t="s">
        <v>245</v>
      </c>
      <c r="B41" s="1" t="s">
        <v>220</v>
      </c>
      <c r="C41" s="1" t="s">
        <v>55</v>
      </c>
      <c r="D41" s="1" t="s">
        <v>71</v>
      </c>
      <c r="E41" s="137" t="s">
        <v>227</v>
      </c>
      <c r="F41" s="1">
        <v>200</v>
      </c>
      <c r="G41" s="139"/>
      <c r="H41" s="1"/>
      <c r="I41" s="202">
        <v>45965</v>
      </c>
      <c r="J41" s="212">
        <v>200</v>
      </c>
      <c r="K41" s="1"/>
      <c r="L41" s="1"/>
      <c r="M41" s="135"/>
      <c r="N41" s="4"/>
      <c r="O41" s="212"/>
      <c r="P41" s="5"/>
      <c r="Q41" s="1"/>
      <c r="R41" s="1"/>
      <c r="S41" s="4"/>
      <c r="T41" s="212"/>
      <c r="U41" s="199"/>
      <c r="V41" s="1"/>
      <c r="W41" s="1"/>
      <c r="X41" s="1"/>
      <c r="Y41" s="139">
        <f t="shared" si="7"/>
        <v>200</v>
      </c>
      <c r="Z41" s="145">
        <f t="shared" si="1"/>
        <v>0</v>
      </c>
    </row>
    <row r="42" spans="1:26" x14ac:dyDescent="0.25">
      <c r="A42" s="1" t="s">
        <v>218</v>
      </c>
      <c r="B42" s="1" t="s">
        <v>219</v>
      </c>
      <c r="C42" s="1" t="s">
        <v>55</v>
      </c>
      <c r="D42" s="1" t="s">
        <v>71</v>
      </c>
      <c r="E42" s="214" t="s">
        <v>176</v>
      </c>
      <c r="F42" s="1">
        <v>350</v>
      </c>
      <c r="G42" s="232"/>
      <c r="H42" s="1"/>
      <c r="I42" s="202">
        <v>45967</v>
      </c>
      <c r="J42" s="212">
        <v>350</v>
      </c>
      <c r="K42" s="1"/>
      <c r="L42" s="1"/>
      <c r="M42" s="1"/>
      <c r="N42" s="135"/>
      <c r="O42" s="212"/>
      <c r="P42" s="5"/>
      <c r="Q42" s="1"/>
      <c r="R42" s="1"/>
      <c r="S42" s="4"/>
      <c r="T42" s="212"/>
      <c r="U42" s="199"/>
      <c r="V42" s="1"/>
      <c r="W42" s="1"/>
      <c r="X42" s="1"/>
      <c r="Y42" s="139">
        <f t="shared" si="7"/>
        <v>350</v>
      </c>
      <c r="Z42" s="145">
        <f t="shared" si="1"/>
        <v>0</v>
      </c>
    </row>
    <row r="43" spans="1:26" ht="15.75" thickBot="1" x14ac:dyDescent="0.3">
      <c r="A43" s="248" t="s">
        <v>94</v>
      </c>
      <c r="B43" s="220" t="s">
        <v>246</v>
      </c>
      <c r="C43" s="16" t="s">
        <v>63</v>
      </c>
      <c r="D43" s="16" t="s">
        <v>95</v>
      </c>
      <c r="E43" s="146" t="s">
        <v>49</v>
      </c>
      <c r="F43" s="16">
        <v>25</v>
      </c>
      <c r="G43" s="16"/>
      <c r="H43" s="16"/>
      <c r="I43" s="186">
        <v>45967</v>
      </c>
      <c r="J43" s="212">
        <v>0</v>
      </c>
      <c r="K43" s="63"/>
      <c r="L43" s="16"/>
      <c r="M43" s="71"/>
      <c r="N43" s="65"/>
      <c r="O43" s="212"/>
      <c r="P43" s="11"/>
      <c r="Q43" s="16"/>
      <c r="R43" s="71"/>
      <c r="S43" s="65"/>
      <c r="T43" s="212"/>
      <c r="U43" s="63"/>
      <c r="V43" s="16"/>
      <c r="W43" s="71"/>
      <c r="X43" s="65"/>
      <c r="Y43" s="213">
        <f t="shared" si="7"/>
        <v>0</v>
      </c>
      <c r="Z43" s="145">
        <f t="shared" si="1"/>
        <v>25</v>
      </c>
    </row>
    <row r="44" spans="1:26" x14ac:dyDescent="0.25">
      <c r="A44" s="1" t="s">
        <v>222</v>
      </c>
      <c r="B44" s="1" t="s">
        <v>263</v>
      </c>
      <c r="C44" s="1" t="s">
        <v>223</v>
      </c>
      <c r="D44" s="81" t="s">
        <v>224</v>
      </c>
      <c r="E44" s="250" t="s">
        <v>225</v>
      </c>
      <c r="F44" s="1">
        <v>206.61</v>
      </c>
      <c r="G44" s="1">
        <f>0.21*F44</f>
        <v>43.388100000000001</v>
      </c>
      <c r="H44" s="1"/>
      <c r="I44" s="183">
        <v>45968</v>
      </c>
      <c r="J44" s="212"/>
      <c r="K44" s="139">
        <v>206.61</v>
      </c>
      <c r="L44" s="1">
        <f>K44*0.21</f>
        <v>43.388100000000001</v>
      </c>
      <c r="M44" s="135">
        <f>K44*0.15</f>
        <v>30.991500000000002</v>
      </c>
      <c r="N44" s="4"/>
      <c r="O44" s="212"/>
      <c r="P44" s="5"/>
      <c r="Q44" s="1"/>
      <c r="R44" s="1"/>
      <c r="S44" s="4"/>
      <c r="T44" s="212"/>
      <c r="U44" s="199"/>
      <c r="V44" s="1"/>
      <c r="W44" s="1"/>
      <c r="X44" s="1"/>
      <c r="Y44" s="139">
        <f t="shared" ref="Y44" si="8">J44+K44+O44+T44+P44+U44</f>
        <v>206.61</v>
      </c>
      <c r="Z44" s="145">
        <f t="shared" si="1"/>
        <v>0</v>
      </c>
    </row>
    <row r="45" spans="1:26" x14ac:dyDescent="0.25">
      <c r="A45" s="1" t="s">
        <v>222</v>
      </c>
      <c r="B45" s="1" t="s">
        <v>259</v>
      </c>
      <c r="C45" s="1" t="s">
        <v>251</v>
      </c>
      <c r="D45" s="1" t="s">
        <v>224</v>
      </c>
      <c r="E45" s="233" t="s">
        <v>225</v>
      </c>
      <c r="F45" s="1">
        <v>173.56</v>
      </c>
      <c r="G45" s="1">
        <f>0.21*F45</f>
        <v>36.447600000000001</v>
      </c>
      <c r="H45" s="1"/>
      <c r="I45" s="202">
        <v>45971</v>
      </c>
      <c r="J45" s="212"/>
      <c r="K45" s="139">
        <v>173.56</v>
      </c>
      <c r="L45" s="1">
        <f t="shared" ref="L45:L47" si="9">K45*0.21</f>
        <v>36.447600000000001</v>
      </c>
      <c r="M45" s="135">
        <f t="shared" ref="M45:M47" si="10">K45*0.15</f>
        <v>26.033999999999999</v>
      </c>
      <c r="N45" s="4"/>
      <c r="O45" s="212"/>
      <c r="P45" s="5"/>
      <c r="Q45" s="1"/>
      <c r="R45" s="1"/>
      <c r="S45" s="4"/>
      <c r="T45" s="212"/>
      <c r="U45" s="199"/>
      <c r="V45" s="1"/>
      <c r="W45" s="1"/>
      <c r="X45" s="1"/>
      <c r="Y45" s="139">
        <f t="shared" si="7"/>
        <v>173.56</v>
      </c>
      <c r="Z45" s="145">
        <f t="shared" si="1"/>
        <v>0</v>
      </c>
    </row>
    <row r="46" spans="1:26" x14ac:dyDescent="0.25">
      <c r="A46" s="81" t="s">
        <v>222</v>
      </c>
      <c r="B46" s="81" t="s">
        <v>260</v>
      </c>
      <c r="C46" s="81" t="s">
        <v>258</v>
      </c>
      <c r="D46" s="81" t="s">
        <v>224</v>
      </c>
      <c r="E46" s="250" t="s">
        <v>225</v>
      </c>
      <c r="F46" s="81">
        <v>190.09</v>
      </c>
      <c r="G46" s="1">
        <f>0.21*F46</f>
        <v>39.918900000000001</v>
      </c>
      <c r="H46" s="81"/>
      <c r="I46" s="251">
        <v>45972</v>
      </c>
      <c r="J46" s="212"/>
      <c r="K46" s="270">
        <v>190.09</v>
      </c>
      <c r="L46" s="1">
        <f t="shared" si="9"/>
        <v>39.918900000000001</v>
      </c>
      <c r="M46" s="135">
        <f t="shared" si="10"/>
        <v>28.513500000000001</v>
      </c>
      <c r="N46" s="4"/>
      <c r="O46" s="212"/>
      <c r="P46" s="5"/>
      <c r="Q46" s="1"/>
      <c r="R46" s="1"/>
      <c r="S46" s="4"/>
      <c r="T46" s="212"/>
      <c r="U46" s="199"/>
      <c r="V46" s="1"/>
      <c r="W46" s="1"/>
      <c r="X46" s="1"/>
      <c r="Y46" s="139">
        <f t="shared" si="7"/>
        <v>190.09</v>
      </c>
      <c r="Z46" s="145">
        <f t="shared" si="1"/>
        <v>0</v>
      </c>
    </row>
    <row r="47" spans="1:26" x14ac:dyDescent="0.25">
      <c r="A47" s="1" t="s">
        <v>222</v>
      </c>
      <c r="B47" s="1" t="s">
        <v>263</v>
      </c>
      <c r="C47" s="1" t="s">
        <v>223</v>
      </c>
      <c r="D47" s="81" t="s">
        <v>224</v>
      </c>
      <c r="E47" s="250" t="s">
        <v>225</v>
      </c>
      <c r="F47" s="1">
        <v>206.61</v>
      </c>
      <c r="G47" s="1">
        <f>0.21*F47</f>
        <v>43.388100000000001</v>
      </c>
      <c r="H47" s="1"/>
      <c r="I47" s="183">
        <v>45974</v>
      </c>
      <c r="J47" s="212"/>
      <c r="K47" s="139">
        <v>206.61</v>
      </c>
      <c r="L47" s="1">
        <f t="shared" si="9"/>
        <v>43.388100000000001</v>
      </c>
      <c r="M47" s="135">
        <f t="shared" si="10"/>
        <v>30.991500000000002</v>
      </c>
      <c r="N47" s="4"/>
      <c r="O47" s="212"/>
      <c r="P47" s="5"/>
      <c r="Q47" s="1"/>
      <c r="R47" s="1"/>
      <c r="S47" s="4"/>
      <c r="T47" s="212"/>
      <c r="U47" s="199"/>
      <c r="V47" s="1"/>
      <c r="W47" s="1"/>
      <c r="X47" s="1"/>
      <c r="Y47" s="139">
        <f t="shared" si="7"/>
        <v>206.61</v>
      </c>
      <c r="Z47" s="145">
        <f t="shared" si="1"/>
        <v>0</v>
      </c>
    </row>
    <row r="48" spans="1:26" x14ac:dyDescent="0.25">
      <c r="A48" s="1" t="s">
        <v>264</v>
      </c>
      <c r="B48" s="1" t="s">
        <v>265</v>
      </c>
      <c r="C48" s="1" t="s">
        <v>55</v>
      </c>
      <c r="D48" s="1" t="s">
        <v>224</v>
      </c>
      <c r="E48" s="255" t="s">
        <v>265</v>
      </c>
      <c r="F48" s="1">
        <v>40</v>
      </c>
      <c r="G48" s="1">
        <v>0</v>
      </c>
      <c r="H48" s="1"/>
      <c r="I48" s="202">
        <v>45978</v>
      </c>
      <c r="J48" s="256">
        <v>40</v>
      </c>
      <c r="K48" s="139"/>
      <c r="L48" s="1"/>
      <c r="M48" s="1"/>
      <c r="N48" s="1"/>
      <c r="O48" s="212"/>
      <c r="P48" s="5"/>
      <c r="Q48" s="1"/>
      <c r="R48" s="1"/>
      <c r="S48" s="4"/>
      <c r="T48" s="212"/>
      <c r="U48" s="199"/>
      <c r="V48" s="1"/>
      <c r="W48" s="1"/>
      <c r="X48" s="1"/>
      <c r="Y48" s="139">
        <f t="shared" si="7"/>
        <v>40</v>
      </c>
      <c r="Z48" s="145">
        <f t="shared" si="1"/>
        <v>0</v>
      </c>
    </row>
    <row r="49" spans="1:26" x14ac:dyDescent="0.25">
      <c r="A49" s="1" t="s">
        <v>256</v>
      </c>
      <c r="B49" s="1" t="s">
        <v>257</v>
      </c>
      <c r="C49" s="1" t="s">
        <v>55</v>
      </c>
      <c r="D49" s="1" t="s">
        <v>224</v>
      </c>
      <c r="E49" s="163" t="s">
        <v>257</v>
      </c>
      <c r="F49" s="1">
        <v>350</v>
      </c>
      <c r="G49" s="1">
        <v>0</v>
      </c>
      <c r="H49" s="1"/>
      <c r="I49" s="202">
        <v>45978</v>
      </c>
      <c r="J49" s="256">
        <v>0</v>
      </c>
      <c r="K49" s="139">
        <v>350</v>
      </c>
      <c r="L49" s="1">
        <f>K49*0.21</f>
        <v>73.5</v>
      </c>
      <c r="M49" s="135">
        <f>K49*0.15</f>
        <v>52.5</v>
      </c>
      <c r="N49" s="1"/>
      <c r="O49" s="212"/>
      <c r="P49" s="5"/>
      <c r="Q49" s="1"/>
      <c r="R49" s="1"/>
      <c r="S49" s="4"/>
      <c r="T49" s="212"/>
      <c r="U49" s="199"/>
      <c r="V49" s="1"/>
      <c r="W49" s="1"/>
      <c r="X49" s="1"/>
      <c r="Y49" s="139">
        <f t="shared" ref="Y49" si="11">J49+K49+O49+T49+P49+U49</f>
        <v>350</v>
      </c>
      <c r="Z49" s="145">
        <f t="shared" si="1"/>
        <v>0</v>
      </c>
    </row>
    <row r="50" spans="1:26" x14ac:dyDescent="0.25">
      <c r="A50" s="1" t="s">
        <v>222</v>
      </c>
      <c r="B50" s="1" t="s">
        <v>266</v>
      </c>
      <c r="C50" s="1" t="s">
        <v>223</v>
      </c>
      <c r="D50" s="1" t="s">
        <v>224</v>
      </c>
      <c r="E50" s="233" t="s">
        <v>225</v>
      </c>
      <c r="F50" s="1">
        <v>206.61</v>
      </c>
      <c r="G50" s="1">
        <f>0.21*F50</f>
        <v>43.388100000000001</v>
      </c>
      <c r="H50" s="1"/>
      <c r="I50" s="202">
        <v>45981</v>
      </c>
      <c r="J50" s="256">
        <v>0</v>
      </c>
      <c r="K50" s="139">
        <v>206.61</v>
      </c>
      <c r="L50" s="1">
        <f t="shared" ref="L50:L51" si="12">K50*0.21</f>
        <v>43.388100000000001</v>
      </c>
      <c r="M50" s="135">
        <f t="shared" ref="M50:M51" si="13">K50*0.15</f>
        <v>30.991500000000002</v>
      </c>
      <c r="N50" s="1"/>
      <c r="O50" s="212"/>
      <c r="P50" s="5"/>
      <c r="Q50" s="1"/>
      <c r="R50" s="1"/>
      <c r="S50" s="4"/>
      <c r="T50" s="212"/>
      <c r="U50" s="199"/>
      <c r="V50" s="1"/>
      <c r="W50" s="1"/>
      <c r="X50" s="1"/>
      <c r="Y50" s="139">
        <f t="shared" ref="Y50:Y56" si="14">J50+K50+O50+T50+P50+U50</f>
        <v>206.61</v>
      </c>
      <c r="Z50" s="145">
        <f t="shared" ref="Z50:Z51" si="15">F50-Y50</f>
        <v>0</v>
      </c>
    </row>
    <row r="51" spans="1:26" x14ac:dyDescent="0.25">
      <c r="A51" s="1" t="s">
        <v>222</v>
      </c>
      <c r="B51" s="1" t="s">
        <v>267</v>
      </c>
      <c r="C51" s="1" t="s">
        <v>268</v>
      </c>
      <c r="D51" s="1" t="s">
        <v>224</v>
      </c>
      <c r="E51" s="233" t="s">
        <v>225</v>
      </c>
      <c r="F51" s="139">
        <v>190.09</v>
      </c>
      <c r="G51" s="1">
        <f>0.21*F51</f>
        <v>39.918900000000001</v>
      </c>
      <c r="H51" s="1"/>
      <c r="I51" s="202">
        <v>45987</v>
      </c>
      <c r="J51" s="256">
        <v>0</v>
      </c>
      <c r="K51" s="139">
        <v>190.09</v>
      </c>
      <c r="L51" s="1">
        <f t="shared" si="12"/>
        <v>39.918900000000001</v>
      </c>
      <c r="M51" s="135">
        <f t="shared" si="13"/>
        <v>28.513500000000001</v>
      </c>
      <c r="N51" s="1"/>
      <c r="O51" s="212"/>
      <c r="P51" s="5"/>
      <c r="Q51" s="1"/>
      <c r="R51" s="1"/>
      <c r="S51" s="4"/>
      <c r="T51" s="212"/>
      <c r="U51" s="199"/>
      <c r="V51" s="1"/>
      <c r="W51" s="1"/>
      <c r="X51" s="1"/>
      <c r="Y51" s="139">
        <f t="shared" si="14"/>
        <v>190.09</v>
      </c>
      <c r="Z51" s="145">
        <f t="shared" si="15"/>
        <v>0</v>
      </c>
    </row>
    <row r="52" spans="1:26" x14ac:dyDescent="0.25">
      <c r="A52" s="234" t="s">
        <v>255</v>
      </c>
      <c r="B52" s="1" t="s">
        <v>254</v>
      </c>
      <c r="C52" s="1" t="s">
        <v>55</v>
      </c>
      <c r="D52" s="1" t="s">
        <v>224</v>
      </c>
      <c r="E52" s="73" t="s">
        <v>84</v>
      </c>
      <c r="F52" s="1">
        <v>1300</v>
      </c>
      <c r="G52" s="1">
        <f>0.21*F52</f>
        <v>273</v>
      </c>
      <c r="H52" s="1">
        <f>0.21*G52</f>
        <v>57.33</v>
      </c>
      <c r="I52" s="202">
        <v>45992</v>
      </c>
      <c r="J52" s="256">
        <v>0</v>
      </c>
      <c r="K52" s="139"/>
      <c r="L52" s="1">
        <v>294</v>
      </c>
      <c r="M52" s="135">
        <f>0.15*F52</f>
        <v>195</v>
      </c>
      <c r="N52" s="1"/>
      <c r="O52" s="212"/>
      <c r="P52" s="5"/>
      <c r="Q52" s="1"/>
      <c r="R52" s="1"/>
      <c r="S52" s="4"/>
      <c r="T52" s="212"/>
      <c r="U52" s="199"/>
      <c r="V52" s="1"/>
      <c r="W52" s="1"/>
      <c r="X52" s="1"/>
      <c r="Y52" s="139">
        <f t="shared" si="14"/>
        <v>0</v>
      </c>
      <c r="Z52" s="145">
        <f t="shared" ref="Z52" si="16">F52-Y52</f>
        <v>1300</v>
      </c>
    </row>
    <row r="53" spans="1:26" x14ac:dyDescent="0.25">
      <c r="A53" s="1" t="s">
        <v>280</v>
      </c>
      <c r="B53" s="1" t="s">
        <v>281</v>
      </c>
      <c r="C53" s="1" t="s">
        <v>55</v>
      </c>
      <c r="D53" s="1" t="s">
        <v>71</v>
      </c>
      <c r="E53" s="269" t="s">
        <v>282</v>
      </c>
      <c r="F53" s="1">
        <v>90</v>
      </c>
      <c r="G53" s="139"/>
      <c r="H53" s="1"/>
      <c r="I53" s="202">
        <v>45994</v>
      </c>
      <c r="J53" s="256">
        <v>90</v>
      </c>
      <c r="K53" s="139"/>
      <c r="L53" s="1"/>
      <c r="M53" s="135"/>
      <c r="N53" s="1"/>
      <c r="O53" s="212"/>
      <c r="P53" s="5"/>
      <c r="Q53" s="1"/>
      <c r="R53" s="1"/>
      <c r="S53" s="4"/>
      <c r="T53" s="212"/>
      <c r="U53" s="199"/>
      <c r="V53" s="1"/>
      <c r="W53" s="1"/>
      <c r="X53" s="1"/>
      <c r="Y53" s="139">
        <f t="shared" si="14"/>
        <v>90</v>
      </c>
      <c r="Z53" s="145">
        <f t="shared" ref="Z53" si="17">F53-Y53</f>
        <v>0</v>
      </c>
    </row>
    <row r="54" spans="1:26" x14ac:dyDescent="0.25">
      <c r="A54" s="234" t="s">
        <v>222</v>
      </c>
      <c r="B54" s="1" t="s">
        <v>288</v>
      </c>
      <c r="C54" s="1" t="s">
        <v>268</v>
      </c>
      <c r="D54" s="1" t="s">
        <v>224</v>
      </c>
      <c r="E54" s="233" t="s">
        <v>225</v>
      </c>
      <c r="F54" s="139">
        <v>206.61</v>
      </c>
      <c r="G54" s="1"/>
      <c r="H54" s="1"/>
      <c r="I54" s="258">
        <v>46006</v>
      </c>
      <c r="J54" s="273"/>
      <c r="K54" s="139"/>
      <c r="L54" s="1"/>
      <c r="M54" s="135"/>
      <c r="N54" s="1"/>
      <c r="O54" s="212"/>
      <c r="P54" s="5"/>
      <c r="Q54" s="1"/>
      <c r="R54" s="1"/>
      <c r="S54" s="4"/>
      <c r="T54" s="212"/>
      <c r="U54" s="199"/>
      <c r="V54" s="1"/>
      <c r="W54" s="1"/>
      <c r="X54" s="1"/>
      <c r="Y54" s="139">
        <f t="shared" si="14"/>
        <v>0</v>
      </c>
      <c r="Z54" s="145">
        <f t="shared" ref="Z54:Z56" si="18">F54-Y54</f>
        <v>206.61</v>
      </c>
    </row>
    <row r="55" spans="1:26" x14ac:dyDescent="0.25">
      <c r="A55" s="234" t="s">
        <v>222</v>
      </c>
      <c r="B55" s="1" t="s">
        <v>289</v>
      </c>
      <c r="C55" s="1" t="s">
        <v>268</v>
      </c>
      <c r="D55" s="1" t="s">
        <v>224</v>
      </c>
      <c r="E55" s="233" t="s">
        <v>225</v>
      </c>
      <c r="F55" s="139">
        <v>190.09</v>
      </c>
      <c r="G55" s="1"/>
      <c r="H55" s="1"/>
      <c r="I55" s="258">
        <v>46007</v>
      </c>
      <c r="J55" s="273"/>
      <c r="K55" s="139"/>
      <c r="L55" s="1"/>
      <c r="M55" s="135"/>
      <c r="N55" s="1"/>
      <c r="O55" s="212"/>
      <c r="P55" s="5"/>
      <c r="Q55" s="1"/>
      <c r="R55" s="1"/>
      <c r="S55" s="4"/>
      <c r="T55" s="212"/>
      <c r="U55" s="199"/>
      <c r="V55" s="1"/>
      <c r="W55" s="1"/>
      <c r="X55" s="1"/>
      <c r="Y55" s="139">
        <f t="shared" si="14"/>
        <v>0</v>
      </c>
      <c r="Z55" s="145">
        <f t="shared" si="18"/>
        <v>190.09</v>
      </c>
    </row>
    <row r="56" spans="1:26" x14ac:dyDescent="0.25">
      <c r="A56" s="234" t="s">
        <v>222</v>
      </c>
      <c r="B56" s="1" t="s">
        <v>290</v>
      </c>
      <c r="C56" s="1" t="s">
        <v>268</v>
      </c>
      <c r="D56" s="1" t="s">
        <v>224</v>
      </c>
      <c r="E56" s="233" t="s">
        <v>225</v>
      </c>
      <c r="F56" s="139">
        <v>223.14</v>
      </c>
      <c r="G56" s="1"/>
      <c r="H56" s="1"/>
      <c r="I56" s="258">
        <v>46008</v>
      </c>
      <c r="J56" s="273"/>
      <c r="K56" s="139"/>
      <c r="L56" s="1"/>
      <c r="M56" s="135"/>
      <c r="N56" s="1"/>
      <c r="O56" s="212"/>
      <c r="P56" s="5"/>
      <c r="Q56" s="1"/>
      <c r="R56" s="1"/>
      <c r="S56" s="4"/>
      <c r="T56" s="212"/>
      <c r="U56" s="199"/>
      <c r="V56" s="1"/>
      <c r="W56" s="1"/>
      <c r="X56" s="1"/>
      <c r="Y56" s="139">
        <f t="shared" si="14"/>
        <v>0</v>
      </c>
      <c r="Z56" s="145">
        <f t="shared" si="18"/>
        <v>223.14</v>
      </c>
    </row>
  </sheetData>
  <mergeCells count="1">
    <mergeCell ref="A1:W1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="80" zoomScaleNormal="80" workbookViewId="0">
      <selection activeCell="D35" sqref="D35"/>
    </sheetView>
  </sheetViews>
  <sheetFormatPr baseColWidth="10" defaultRowHeight="15" x14ac:dyDescent="0.25"/>
  <cols>
    <col min="3" max="3" width="25.7109375" customWidth="1"/>
    <col min="4" max="4" width="22.7109375" customWidth="1"/>
    <col min="5" max="5" width="36.28515625" customWidth="1"/>
    <col min="6" max="6" width="33.28515625" customWidth="1"/>
    <col min="7" max="7" width="23.85546875" customWidth="1"/>
  </cols>
  <sheetData>
    <row r="1" spans="1:11" ht="15.75" thickBot="1" x14ac:dyDescent="0.3">
      <c r="B1" s="82"/>
      <c r="C1" s="147" t="s">
        <v>104</v>
      </c>
      <c r="D1" s="148" t="s">
        <v>105</v>
      </c>
      <c r="E1" s="148" t="s">
        <v>106</v>
      </c>
      <c r="F1" s="148" t="s">
        <v>107</v>
      </c>
      <c r="G1" s="148" t="s">
        <v>108</v>
      </c>
      <c r="H1" s="148" t="s">
        <v>109</v>
      </c>
      <c r="I1" s="148" t="s">
        <v>110</v>
      </c>
      <c r="J1" s="148"/>
      <c r="K1" s="149" t="s">
        <v>111</v>
      </c>
    </row>
    <row r="2" spans="1:11" x14ac:dyDescent="0.25">
      <c r="A2" s="341" t="s">
        <v>86</v>
      </c>
      <c r="B2" s="150" t="s">
        <v>112</v>
      </c>
      <c r="C2" s="143"/>
      <c r="D2" s="145"/>
      <c r="E2" s="145"/>
      <c r="F2" s="145"/>
      <c r="G2" s="145"/>
      <c r="H2" s="145"/>
      <c r="I2" s="145"/>
      <c r="J2" s="145"/>
      <c r="K2" s="151">
        <v>32</v>
      </c>
    </row>
    <row r="3" spans="1:11" x14ac:dyDescent="0.25">
      <c r="A3" s="342"/>
      <c r="B3" s="152" t="s">
        <v>113</v>
      </c>
      <c r="C3" s="5"/>
      <c r="D3" s="1"/>
      <c r="E3" s="1"/>
      <c r="F3" s="1"/>
      <c r="G3" s="1"/>
      <c r="H3" s="1"/>
      <c r="I3" s="1"/>
      <c r="J3" s="1"/>
      <c r="K3" s="153">
        <v>35</v>
      </c>
    </row>
    <row r="4" spans="1:11" x14ac:dyDescent="0.25">
      <c r="A4" s="342"/>
      <c r="B4" s="154" t="s">
        <v>114</v>
      </c>
      <c r="C4" s="5"/>
      <c r="D4" s="1"/>
      <c r="E4" s="1"/>
      <c r="F4" s="1"/>
      <c r="G4" s="1"/>
      <c r="H4" s="1"/>
      <c r="I4" s="1"/>
      <c r="J4" s="1"/>
      <c r="K4" s="153">
        <v>28</v>
      </c>
    </row>
    <row r="5" spans="1:11" x14ac:dyDescent="0.25">
      <c r="A5" s="343"/>
      <c r="B5" s="154" t="s">
        <v>115</v>
      </c>
      <c r="C5" s="5" t="s">
        <v>116</v>
      </c>
      <c r="D5" s="1" t="s">
        <v>117</v>
      </c>
      <c r="E5" s="1" t="s">
        <v>125</v>
      </c>
      <c r="F5" s="1" t="s">
        <v>118</v>
      </c>
      <c r="G5" s="1" t="s">
        <v>119</v>
      </c>
      <c r="H5" s="1"/>
      <c r="I5" s="1"/>
      <c r="J5" s="1"/>
      <c r="K5" s="153">
        <f>7+7.5+5+7.5+5</f>
        <v>32</v>
      </c>
    </row>
    <row r="6" spans="1:11" x14ac:dyDescent="0.25">
      <c r="A6" s="165"/>
      <c r="B6" s="166">
        <v>31</v>
      </c>
      <c r="C6" s="1" t="s">
        <v>122</v>
      </c>
      <c r="D6" s="168"/>
      <c r="E6" s="168"/>
      <c r="F6" s="168"/>
      <c r="G6" s="168"/>
      <c r="H6" s="81"/>
      <c r="I6" s="81"/>
      <c r="J6" s="81"/>
      <c r="K6" s="167">
        <v>5.5</v>
      </c>
    </row>
    <row r="7" spans="1:11" x14ac:dyDescent="0.25">
      <c r="A7" s="155"/>
      <c r="B7" s="156"/>
      <c r="C7" s="157"/>
      <c r="D7" s="158"/>
      <c r="E7" s="158"/>
      <c r="F7" s="158"/>
      <c r="G7" s="158"/>
      <c r="H7" s="158"/>
      <c r="I7" s="158"/>
      <c r="J7" s="158"/>
      <c r="K7" s="159">
        <f>SUM(K2:K6)</f>
        <v>132.5</v>
      </c>
    </row>
    <row r="8" spans="1:11" x14ac:dyDescent="0.25">
      <c r="A8" s="344" t="s">
        <v>120</v>
      </c>
      <c r="B8" s="1" t="s">
        <v>121</v>
      </c>
      <c r="C8" s="169"/>
      <c r="D8" s="1" t="s">
        <v>123</v>
      </c>
      <c r="E8" s="1" t="s">
        <v>126</v>
      </c>
      <c r="F8" s="1" t="s">
        <v>126</v>
      </c>
      <c r="G8" s="1" t="s">
        <v>127</v>
      </c>
      <c r="H8" s="1"/>
      <c r="I8" s="1">
        <v>1</v>
      </c>
      <c r="J8" s="1"/>
      <c r="K8" s="1">
        <f>8.5+7+7+3+1</f>
        <v>26.5</v>
      </c>
    </row>
    <row r="9" spans="1:11" x14ac:dyDescent="0.25">
      <c r="A9" s="344"/>
      <c r="B9" s="162" t="s">
        <v>133</v>
      </c>
      <c r="C9" s="1">
        <v>8.15</v>
      </c>
      <c r="D9" s="1">
        <v>6.32</v>
      </c>
      <c r="E9" s="1">
        <v>8.07</v>
      </c>
      <c r="F9" s="1">
        <v>7.04</v>
      </c>
      <c r="G9" s="1">
        <v>3</v>
      </c>
      <c r="H9" s="1"/>
      <c r="I9" s="1"/>
      <c r="J9" s="1"/>
      <c r="K9" s="1">
        <v>33</v>
      </c>
    </row>
    <row r="10" spans="1:11" x14ac:dyDescent="0.25">
      <c r="A10" s="344"/>
      <c r="B10" s="1" t="s">
        <v>134</v>
      </c>
      <c r="C10" s="1">
        <v>6.45</v>
      </c>
      <c r="D10" s="1">
        <v>6.38</v>
      </c>
      <c r="E10" s="1">
        <v>4.42</v>
      </c>
      <c r="F10" s="1"/>
      <c r="G10" s="1">
        <v>2</v>
      </c>
      <c r="H10" s="1"/>
      <c r="I10" s="1"/>
      <c r="J10" s="1"/>
      <c r="K10" s="1">
        <v>20</v>
      </c>
    </row>
    <row r="11" spans="1:11" x14ac:dyDescent="0.25">
      <c r="A11" s="344"/>
      <c r="B11" s="1" t="s">
        <v>135</v>
      </c>
      <c r="C11" s="1">
        <f>4.41+4</f>
        <v>8.41</v>
      </c>
      <c r="D11">
        <v>6.29</v>
      </c>
      <c r="E11" s="1">
        <v>8.3000000000000007</v>
      </c>
      <c r="F11" s="1">
        <f>4+3.11</f>
        <v>7.1099999999999994</v>
      </c>
      <c r="G11" s="1">
        <v>3.11</v>
      </c>
      <c r="H11" s="1"/>
      <c r="I11" s="1"/>
      <c r="J11" s="1"/>
      <c r="K11" s="1">
        <v>34</v>
      </c>
    </row>
    <row r="12" spans="1:11" x14ac:dyDescent="0.25">
      <c r="B12" s="1" t="s">
        <v>144</v>
      </c>
      <c r="C12" s="1">
        <v>3.22</v>
      </c>
      <c r="D12">
        <v>6.36</v>
      </c>
      <c r="E12" s="1">
        <v>8</v>
      </c>
      <c r="F12" s="164"/>
      <c r="G12" s="164"/>
      <c r="H12" s="1"/>
      <c r="I12" s="1"/>
      <c r="J12" s="1"/>
      <c r="K12" s="1">
        <v>18</v>
      </c>
    </row>
    <row r="13" spans="1:11" x14ac:dyDescent="0.25">
      <c r="A13" s="155"/>
      <c r="B13" s="156"/>
      <c r="C13" s="157"/>
      <c r="D13" s="158"/>
      <c r="E13" s="158"/>
      <c r="F13" s="158"/>
      <c r="G13" s="158"/>
      <c r="H13" s="158"/>
      <c r="I13" s="158"/>
      <c r="J13" s="158"/>
      <c r="K13" s="73">
        <f>SUM(K8:K12)</f>
        <v>131.5</v>
      </c>
    </row>
    <row r="14" spans="1:11" x14ac:dyDescent="0.25">
      <c r="A14" s="344" t="s">
        <v>145</v>
      </c>
      <c r="B14" s="1" t="s">
        <v>146</v>
      </c>
      <c r="C14" s="170"/>
      <c r="D14" s="163"/>
      <c r="E14" s="163"/>
      <c r="F14" s="1">
        <v>4</v>
      </c>
      <c r="G14" s="1">
        <v>4</v>
      </c>
      <c r="H14" s="1"/>
      <c r="I14" s="1"/>
      <c r="J14" s="1"/>
      <c r="K14" s="1">
        <v>8</v>
      </c>
    </row>
    <row r="15" spans="1:11" x14ac:dyDescent="0.25">
      <c r="A15" s="344"/>
      <c r="B15" s="162" t="s">
        <v>147</v>
      </c>
      <c r="C15" s="1" t="s">
        <v>151</v>
      </c>
      <c r="D15" s="1" t="s">
        <v>152</v>
      </c>
      <c r="E15" s="1">
        <v>5</v>
      </c>
      <c r="F15" s="1" t="s">
        <v>155</v>
      </c>
      <c r="G15" s="1">
        <v>5</v>
      </c>
      <c r="H15" s="1"/>
      <c r="I15" s="1"/>
      <c r="J15" s="1"/>
      <c r="K15" s="1">
        <f>5+3.5+4+2+5+4+3+5</f>
        <v>31.5</v>
      </c>
    </row>
    <row r="16" spans="1:11" x14ac:dyDescent="0.25">
      <c r="A16" s="344"/>
      <c r="B16" s="1" t="s">
        <v>148</v>
      </c>
      <c r="C16" s="1">
        <v>8</v>
      </c>
      <c r="D16" s="1">
        <v>7</v>
      </c>
      <c r="E16" s="1">
        <v>6</v>
      </c>
      <c r="F16" s="1" t="s">
        <v>164</v>
      </c>
      <c r="G16" s="1">
        <v>4</v>
      </c>
      <c r="H16" s="1"/>
      <c r="I16" s="1"/>
      <c r="J16" s="1"/>
      <c r="K16" s="1">
        <f>8+7+6+3+2+4</f>
        <v>30</v>
      </c>
    </row>
    <row r="17" spans="1:11" x14ac:dyDescent="0.25">
      <c r="A17" s="344"/>
      <c r="B17" s="1" t="s">
        <v>149</v>
      </c>
      <c r="C17" s="1">
        <v>2</v>
      </c>
      <c r="D17" t="s">
        <v>152</v>
      </c>
      <c r="E17" s="1"/>
      <c r="F17" s="1">
        <v>2</v>
      </c>
      <c r="G17" s="1">
        <v>1</v>
      </c>
      <c r="H17" s="1"/>
      <c r="I17" s="1"/>
      <c r="J17" s="1"/>
      <c r="K17" s="1"/>
    </row>
    <row r="18" spans="1:11" x14ac:dyDescent="0.25">
      <c r="B18" s="1" t="s">
        <v>150</v>
      </c>
      <c r="C18" s="1">
        <v>3.5</v>
      </c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55"/>
      <c r="B19" s="156"/>
      <c r="C19" s="157"/>
      <c r="D19" s="158"/>
      <c r="E19" s="158"/>
      <c r="F19" s="158"/>
      <c r="G19" s="158"/>
      <c r="H19" s="158"/>
      <c r="I19" s="158"/>
      <c r="J19" s="158"/>
      <c r="K19" s="73">
        <f>SUM(K14:K18)</f>
        <v>69.5</v>
      </c>
    </row>
  </sheetData>
  <mergeCells count="3">
    <mergeCell ref="A2:A5"/>
    <mergeCell ref="A8:A11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CONTROL DE PAGOS MIO</vt:lpstr>
      <vt:lpstr>CONTROL DE PAGOS COLABORADORES</vt:lpstr>
      <vt:lpstr>TRABAJOS EN CURSO</vt:lpstr>
      <vt:lpstr>TRABAJOS REALIZADOS</vt:lpstr>
      <vt:lpstr>CONTROL DE PAGOS</vt:lpstr>
      <vt:lpstr>control 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2025-12-19T07:12:35Z</dcterms:modified>
</cp:coreProperties>
</file>